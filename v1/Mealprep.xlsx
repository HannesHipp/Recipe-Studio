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0679db1062347a/Privat/Meal-Prep/v1/"/>
    </mc:Choice>
  </mc:AlternateContent>
  <xr:revisionPtr revIDLastSave="286" documentId="13_ncr:1_{86B495A6-0752-4F7D-BA40-4F540F43A583}" xr6:coauthVersionLast="47" xr6:coauthVersionMax="47" xr10:uidLastSave="{65D39DEF-F4D7-4DCB-A85A-58E1DB89C078}"/>
  <bookViews>
    <workbookView xWindow="4485" yWindow="-18225" windowWidth="21315" windowHeight="14970" activeTab="5" xr2:uid="{36DDB3A8-00A2-4171-95A3-9F00F7EFD33C}"/>
  </bookViews>
  <sheets>
    <sheet name="Input" sheetId="12" r:id="rId1"/>
    <sheet name="Meal 1" sheetId="5" r:id="rId2"/>
    <sheet name="Meal 2" sheetId="9" r:id="rId3"/>
    <sheet name="Meal 3" sheetId="10" r:id="rId4"/>
    <sheet name="Meal 4" sheetId="11" r:id="rId5"/>
    <sheet name="Zutaten-Datenbank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4" l="1"/>
  <c r="N28" i="5"/>
  <c r="M9" i="4"/>
  <c r="J6" i="5" s="1"/>
  <c r="L6" i="5" s="1"/>
  <c r="M14" i="4"/>
  <c r="J7" i="5" s="1"/>
  <c r="L7" i="5" s="1"/>
  <c r="M8" i="4"/>
  <c r="J8" i="5" s="1"/>
  <c r="L8" i="5" s="1"/>
  <c r="M6" i="4"/>
  <c r="J8" i="11" s="1"/>
  <c r="L8" i="11" s="1"/>
  <c r="M26" i="4"/>
  <c r="J10" i="5"/>
  <c r="L10" i="5" s="1"/>
  <c r="M10" i="4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N9" i="4"/>
  <c r="K6" i="5"/>
  <c r="M6" i="5" s="1"/>
  <c r="N14" i="4"/>
  <c r="K7" i="5" s="1"/>
  <c r="M7" i="5" s="1"/>
  <c r="N8" i="4"/>
  <c r="K8" i="5" s="1"/>
  <c r="M8" i="5" s="1"/>
  <c r="N6" i="4"/>
  <c r="K8" i="11" s="1"/>
  <c r="M8" i="11" s="1"/>
  <c r="N26" i="4"/>
  <c r="K10" i="5" s="1"/>
  <c r="M10" i="5" s="1"/>
  <c r="N10" i="4"/>
  <c r="K11" i="5" s="1"/>
  <c r="M11" i="5" s="1"/>
  <c r="K12" i="5"/>
  <c r="M12" i="5" s="1"/>
  <c r="K13" i="5"/>
  <c r="M13" i="5" s="1"/>
  <c r="K14" i="5"/>
  <c r="M14" i="5" s="1"/>
  <c r="K15" i="5"/>
  <c r="M15" i="5" s="1"/>
  <c r="K16" i="5"/>
  <c r="M16" i="5" s="1"/>
  <c r="K17" i="5"/>
  <c r="M17" i="5" s="1"/>
  <c r="K18" i="5"/>
  <c r="M18" i="5" s="1"/>
  <c r="K19" i="5"/>
  <c r="M19" i="5" s="1"/>
  <c r="K20" i="5"/>
  <c r="M20" i="5" s="1"/>
  <c r="K21" i="5"/>
  <c r="M21" i="5" s="1"/>
  <c r="K22" i="5"/>
  <c r="M22" i="5" s="1"/>
  <c r="K23" i="5"/>
  <c r="M23" i="5" s="1"/>
  <c r="K24" i="5"/>
  <c r="M24" i="5" s="1"/>
  <c r="K25" i="5"/>
  <c r="M25" i="5" s="1"/>
  <c r="K26" i="5"/>
  <c r="M26" i="5" s="1"/>
  <c r="K3" i="5"/>
  <c r="K4" i="5"/>
  <c r="K26" i="9"/>
  <c r="M26" i="9" s="1"/>
  <c r="J26" i="9"/>
  <c r="L26" i="9" s="1"/>
  <c r="K25" i="9"/>
  <c r="M25" i="9" s="1"/>
  <c r="J25" i="9"/>
  <c r="L25" i="9" s="1"/>
  <c r="K24" i="9"/>
  <c r="M24" i="9" s="1"/>
  <c r="J24" i="9"/>
  <c r="L24" i="9" s="1"/>
  <c r="K23" i="9"/>
  <c r="M23" i="9" s="1"/>
  <c r="J23" i="9"/>
  <c r="L23" i="9" s="1"/>
  <c r="K22" i="9"/>
  <c r="M22" i="9" s="1"/>
  <c r="J22" i="9"/>
  <c r="L22" i="9" s="1"/>
  <c r="K21" i="9"/>
  <c r="M21" i="9" s="1"/>
  <c r="J21" i="9"/>
  <c r="L21" i="9" s="1"/>
  <c r="K20" i="9"/>
  <c r="M20" i="9" s="1"/>
  <c r="J20" i="9"/>
  <c r="L20" i="9" s="1"/>
  <c r="K19" i="9"/>
  <c r="M19" i="9" s="1"/>
  <c r="J19" i="9"/>
  <c r="L19" i="9" s="1"/>
  <c r="K18" i="9"/>
  <c r="M18" i="9" s="1"/>
  <c r="J18" i="9"/>
  <c r="L18" i="9" s="1"/>
  <c r="K17" i="9"/>
  <c r="M17" i="9" s="1"/>
  <c r="J17" i="9"/>
  <c r="L17" i="9" s="1"/>
  <c r="K16" i="9"/>
  <c r="M16" i="9" s="1"/>
  <c r="J16" i="9"/>
  <c r="L16" i="9" s="1"/>
  <c r="K15" i="9"/>
  <c r="M15" i="9" s="1"/>
  <c r="J15" i="9"/>
  <c r="L15" i="9" s="1"/>
  <c r="K14" i="9"/>
  <c r="M14" i="9" s="1"/>
  <c r="J14" i="9"/>
  <c r="L14" i="9" s="1"/>
  <c r="K13" i="9"/>
  <c r="M13" i="9" s="1"/>
  <c r="J13" i="9"/>
  <c r="L13" i="9" s="1"/>
  <c r="K12" i="9"/>
  <c r="M12" i="9" s="1"/>
  <c r="J12" i="9"/>
  <c r="L12" i="9" s="1"/>
  <c r="K11" i="9"/>
  <c r="M11" i="9" s="1"/>
  <c r="J11" i="9"/>
  <c r="L11" i="9" s="1"/>
  <c r="K10" i="9"/>
  <c r="M10" i="9" s="1"/>
  <c r="J10" i="9"/>
  <c r="L10" i="9" s="1"/>
  <c r="N29" i="4"/>
  <c r="K9" i="9" s="1"/>
  <c r="M9" i="9" s="1"/>
  <c r="M29" i="4"/>
  <c r="J9" i="9" s="1"/>
  <c r="L9" i="9" s="1"/>
  <c r="N7" i="4"/>
  <c r="K8" i="9" s="1"/>
  <c r="M8" i="9" s="1"/>
  <c r="M7" i="4"/>
  <c r="J8" i="9" s="1"/>
  <c r="L8" i="9" s="1"/>
  <c r="N23" i="4"/>
  <c r="K7" i="9" s="1"/>
  <c r="M7" i="9" s="1"/>
  <c r="M23" i="4"/>
  <c r="J7" i="9" s="1"/>
  <c r="L7" i="9" s="1"/>
  <c r="N27" i="4"/>
  <c r="K6" i="9" s="1"/>
  <c r="M6" i="9" s="1"/>
  <c r="M27" i="4"/>
  <c r="J6" i="9"/>
  <c r="L6" i="9" s="1"/>
  <c r="K26" i="10"/>
  <c r="M26" i="10" s="1"/>
  <c r="J26" i="10"/>
  <c r="L26" i="10" s="1"/>
  <c r="K25" i="10"/>
  <c r="M25" i="10" s="1"/>
  <c r="J25" i="10"/>
  <c r="L25" i="10" s="1"/>
  <c r="K24" i="10"/>
  <c r="M24" i="10" s="1"/>
  <c r="J24" i="10"/>
  <c r="L24" i="10" s="1"/>
  <c r="K23" i="10"/>
  <c r="M23" i="10" s="1"/>
  <c r="J23" i="10"/>
  <c r="L23" i="10" s="1"/>
  <c r="K22" i="10"/>
  <c r="M22" i="10" s="1"/>
  <c r="J22" i="10"/>
  <c r="L22" i="10" s="1"/>
  <c r="K21" i="10"/>
  <c r="M21" i="10" s="1"/>
  <c r="J21" i="10"/>
  <c r="L21" i="10" s="1"/>
  <c r="K20" i="10"/>
  <c r="M20" i="10" s="1"/>
  <c r="J20" i="10"/>
  <c r="L20" i="10" s="1"/>
  <c r="K19" i="10"/>
  <c r="M19" i="10" s="1"/>
  <c r="J19" i="10"/>
  <c r="L19" i="10" s="1"/>
  <c r="K18" i="10"/>
  <c r="M18" i="10" s="1"/>
  <c r="J18" i="10"/>
  <c r="L18" i="10" s="1"/>
  <c r="K17" i="10"/>
  <c r="M17" i="10" s="1"/>
  <c r="J17" i="10"/>
  <c r="L17" i="10" s="1"/>
  <c r="K16" i="10"/>
  <c r="M16" i="10" s="1"/>
  <c r="J16" i="10"/>
  <c r="L16" i="10" s="1"/>
  <c r="K15" i="10"/>
  <c r="M15" i="10" s="1"/>
  <c r="J15" i="10"/>
  <c r="L15" i="10" s="1"/>
  <c r="K14" i="10"/>
  <c r="M14" i="10" s="1"/>
  <c r="J14" i="10"/>
  <c r="L14" i="10" s="1"/>
  <c r="K13" i="10"/>
  <c r="M13" i="10" s="1"/>
  <c r="J13" i="10"/>
  <c r="L13" i="10" s="1"/>
  <c r="K12" i="10"/>
  <c r="M12" i="10" s="1"/>
  <c r="J12" i="10"/>
  <c r="L12" i="10" s="1"/>
  <c r="K11" i="10"/>
  <c r="M11" i="10" s="1"/>
  <c r="J11" i="10"/>
  <c r="L11" i="10" s="1"/>
  <c r="K10" i="10"/>
  <c r="M10" i="10" s="1"/>
  <c r="J10" i="10"/>
  <c r="L10" i="10" s="1"/>
  <c r="N11" i="4"/>
  <c r="K9" i="10" s="1"/>
  <c r="M9" i="10" s="1"/>
  <c r="M11" i="4"/>
  <c r="J9" i="10" s="1"/>
  <c r="L9" i="10" s="1"/>
  <c r="N15" i="4"/>
  <c r="K8" i="10" s="1"/>
  <c r="M8" i="10" s="1"/>
  <c r="M15" i="4"/>
  <c r="J8" i="10" s="1"/>
  <c r="L8" i="10" s="1"/>
  <c r="N12" i="4"/>
  <c r="K7" i="10" s="1"/>
  <c r="M7" i="10" s="1"/>
  <c r="M12" i="4"/>
  <c r="J7" i="10" s="1"/>
  <c r="L7" i="10" s="1"/>
  <c r="N28" i="4"/>
  <c r="K6" i="10" s="1"/>
  <c r="M6" i="10" s="1"/>
  <c r="M28" i="4"/>
  <c r="J6" i="10" s="1"/>
  <c r="L6" i="10" s="1"/>
  <c r="L32" i="9"/>
  <c r="L34" i="9" a="1"/>
  <c r="L34" i="9"/>
  <c r="L33" i="9"/>
  <c r="N18" i="4"/>
  <c r="K6" i="11" s="1"/>
  <c r="M6" i="11" s="1"/>
  <c r="N19" i="4"/>
  <c r="K7" i="11" s="1"/>
  <c r="M7" i="11" s="1"/>
  <c r="K10" i="11"/>
  <c r="M10" i="11" s="1"/>
  <c r="N31" i="4"/>
  <c r="K9" i="11"/>
  <c r="M9" i="11" s="1"/>
  <c r="K11" i="11"/>
  <c r="M11" i="11" s="1"/>
  <c r="K12" i="11"/>
  <c r="M12" i="11" s="1"/>
  <c r="K13" i="11"/>
  <c r="M13" i="11" s="1"/>
  <c r="K14" i="11"/>
  <c r="M14" i="11" s="1"/>
  <c r="K15" i="11"/>
  <c r="M15" i="11" s="1"/>
  <c r="K16" i="11"/>
  <c r="M16" i="11" s="1"/>
  <c r="K17" i="11"/>
  <c r="M17" i="11" s="1"/>
  <c r="K18" i="11"/>
  <c r="M18" i="11" s="1"/>
  <c r="K19" i="11"/>
  <c r="M19" i="11" s="1"/>
  <c r="K20" i="11"/>
  <c r="M20" i="11" s="1"/>
  <c r="K21" i="11"/>
  <c r="M21" i="11" s="1"/>
  <c r="K22" i="11"/>
  <c r="M22" i="11" s="1"/>
  <c r="K23" i="11"/>
  <c r="M23" i="11" s="1"/>
  <c r="K24" i="11"/>
  <c r="M24" i="11" s="1"/>
  <c r="K25" i="11"/>
  <c r="M25" i="11" s="1"/>
  <c r="K26" i="11"/>
  <c r="M26" i="11" s="1"/>
  <c r="M19" i="4"/>
  <c r="J7" i="11" s="1"/>
  <c r="L7" i="11" s="1"/>
  <c r="M18" i="4"/>
  <c r="J6" i="11" s="1"/>
  <c r="L6" i="11" s="1"/>
  <c r="M31" i="4"/>
  <c r="J9" i="11" s="1"/>
  <c r="L9" i="11" s="1"/>
  <c r="J10" i="11"/>
  <c r="L10" i="11" s="1"/>
  <c r="J11" i="11"/>
  <c r="L11" i="11" s="1"/>
  <c r="J12" i="11"/>
  <c r="L12" i="11" s="1"/>
  <c r="J13" i="11"/>
  <c r="L13" i="11" s="1"/>
  <c r="J14" i="11"/>
  <c r="L14" i="11" s="1"/>
  <c r="J15" i="11"/>
  <c r="L15" i="11" s="1"/>
  <c r="J16" i="11"/>
  <c r="L16" i="11" s="1"/>
  <c r="J17" i="11"/>
  <c r="L17" i="11" s="1"/>
  <c r="J18" i="11"/>
  <c r="L18" i="11" s="1"/>
  <c r="J19" i="11"/>
  <c r="L19" i="11" s="1"/>
  <c r="J20" i="11"/>
  <c r="L20" i="11" s="1"/>
  <c r="J21" i="11"/>
  <c r="L21" i="11" s="1"/>
  <c r="J22" i="11"/>
  <c r="L22" i="11" s="1"/>
  <c r="J23" i="11"/>
  <c r="L23" i="11" s="1"/>
  <c r="J24" i="11"/>
  <c r="L24" i="11" s="1"/>
  <c r="J25" i="11"/>
  <c r="L25" i="11" s="1"/>
  <c r="J26" i="11"/>
  <c r="L26" i="11" s="1"/>
  <c r="K40" i="4"/>
  <c r="K35" i="4"/>
  <c r="K36" i="4"/>
  <c r="K38" i="4"/>
  <c r="K39" i="4"/>
  <c r="K34" i="4"/>
  <c r="K25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L40" i="4"/>
  <c r="L35" i="4"/>
  <c r="L36" i="4"/>
  <c r="L38" i="4"/>
  <c r="L39" i="4"/>
  <c r="L34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M40" i="4"/>
  <c r="M35" i="4"/>
  <c r="M36" i="4"/>
  <c r="M38" i="4"/>
  <c r="M39" i="4"/>
  <c r="M34" i="4"/>
  <c r="M25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N40" i="4"/>
  <c r="N35" i="4"/>
  <c r="N36" i="4"/>
  <c r="N38" i="4"/>
  <c r="N39" i="4"/>
  <c r="N34" i="4"/>
  <c r="N25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K9" i="4"/>
  <c r="K17" i="4"/>
  <c r="K22" i="4"/>
  <c r="K15" i="4"/>
  <c r="K11" i="4"/>
  <c r="K18" i="4"/>
  <c r="K21" i="4"/>
  <c r="K8" i="4"/>
  <c r="K6" i="4"/>
  <c r="K26" i="4"/>
  <c r="K24" i="4"/>
  <c r="K20" i="4"/>
  <c r="K30" i="4"/>
  <c r="K10" i="4"/>
  <c r="K19" i="4"/>
  <c r="K37" i="4"/>
  <c r="K33" i="4"/>
  <c r="L9" i="4"/>
  <c r="L17" i="4"/>
  <c r="L22" i="4"/>
  <c r="L15" i="4"/>
  <c r="L11" i="4"/>
  <c r="L18" i="4"/>
  <c r="L21" i="4"/>
  <c r="L8" i="4"/>
  <c r="L6" i="4"/>
  <c r="L26" i="4"/>
  <c r="L24" i="4"/>
  <c r="L20" i="4"/>
  <c r="L30" i="4"/>
  <c r="L10" i="4"/>
  <c r="L19" i="4"/>
  <c r="L37" i="4"/>
  <c r="L33" i="4"/>
  <c r="M17" i="4"/>
  <c r="M22" i="4"/>
  <c r="M21" i="4"/>
  <c r="M24" i="4"/>
  <c r="M20" i="4"/>
  <c r="M30" i="4"/>
  <c r="M37" i="4"/>
  <c r="M33" i="4"/>
  <c r="N17" i="4"/>
  <c r="N22" i="4"/>
  <c r="N21" i="4"/>
  <c r="N24" i="4"/>
  <c r="N20" i="4"/>
  <c r="N30" i="4"/>
  <c r="N37" i="4"/>
  <c r="N33" i="4"/>
  <c r="N13" i="4"/>
  <c r="N32" i="4"/>
  <c r="N16" i="4"/>
  <c r="M13" i="4"/>
  <c r="M32" i="4"/>
  <c r="M16" i="4"/>
  <c r="L23" i="4"/>
  <c r="L29" i="4"/>
  <c r="L7" i="4"/>
  <c r="L27" i="4"/>
  <c r="L12" i="4"/>
  <c r="L31" i="4"/>
  <c r="L14" i="4"/>
  <c r="L13" i="4"/>
  <c r="L28" i="4"/>
  <c r="L32" i="4"/>
  <c r="L16" i="4"/>
  <c r="K23" i="4"/>
  <c r="K29" i="4"/>
  <c r="K7" i="4"/>
  <c r="K27" i="4"/>
  <c r="K12" i="4"/>
  <c r="K31" i="4"/>
  <c r="K14" i="4"/>
  <c r="K13" i="4"/>
  <c r="K28" i="4"/>
  <c r="K32" i="4"/>
  <c r="K16" i="4"/>
  <c r="L35" i="9" a="1"/>
  <c r="L35" i="9"/>
  <c r="L36" i="9"/>
  <c r="J9" i="5" l="1"/>
  <c r="L9" i="5" s="1"/>
  <c r="L27" i="5" s="1"/>
  <c r="K9" i="5"/>
  <c r="M9" i="5" s="1"/>
  <c r="M27" i="5" s="1"/>
  <c r="M27" i="11"/>
  <c r="L27" i="9"/>
  <c r="M27" i="9"/>
  <c r="L27" i="11"/>
  <c r="M27" i="10"/>
  <c r="L27" i="10"/>
  <c r="N25" i="5" l="1"/>
  <c r="O25" i="5" s="1"/>
  <c r="N9" i="5"/>
  <c r="O9" i="5" s="1"/>
  <c r="N15" i="5"/>
  <c r="O15" i="5" s="1"/>
  <c r="N16" i="5"/>
  <c r="O16" i="5" s="1"/>
  <c r="N8" i="5"/>
  <c r="O8" i="5" s="1"/>
  <c r="N18" i="5"/>
  <c r="O18" i="5" s="1"/>
  <c r="N22" i="5"/>
  <c r="O22" i="5" s="1"/>
  <c r="N19" i="5"/>
  <c r="O19" i="5" s="1"/>
  <c r="N24" i="5"/>
  <c r="O24" i="5" s="1"/>
  <c r="N11" i="5"/>
  <c r="O11" i="5" s="1"/>
  <c r="N23" i="5"/>
  <c r="O23" i="5" s="1"/>
  <c r="N26" i="5"/>
  <c r="O26" i="5" s="1"/>
  <c r="N7" i="5"/>
  <c r="O7" i="5" s="1"/>
  <c r="N20" i="5"/>
  <c r="O20" i="5" s="1"/>
  <c r="N10" i="5"/>
  <c r="O10" i="5" s="1"/>
  <c r="N14" i="5"/>
  <c r="O14" i="5" s="1"/>
  <c r="N13" i="5"/>
  <c r="O13" i="5" s="1"/>
  <c r="N6" i="5"/>
  <c r="O6" i="5" s="1"/>
  <c r="N17" i="5"/>
  <c r="O17" i="5" s="1"/>
  <c r="N12" i="5"/>
  <c r="O12" i="5" s="1"/>
  <c r="N21" i="5"/>
  <c r="O21" i="5" s="1"/>
  <c r="O27" i="5" l="1" a="1"/>
  <c r="O27" i="5" s="1"/>
  <c r="N29" i="5" s="1"/>
  <c r="N27" i="5" l="1" a="1"/>
  <c r="N27" i="5" s="1"/>
  <c r="N30" i="5" s="1" a="1"/>
  <c r="N30" i="5" s="1"/>
  <c r="N31" i="5" s="1"/>
  <c r="D8" i="5" l="1"/>
  <c r="D17" i="5"/>
  <c r="G17" i="5" s="1"/>
  <c r="D25" i="5"/>
  <c r="D24" i="5"/>
  <c r="E24" i="5" s="1"/>
  <c r="D14" i="5"/>
  <c r="G14" i="5" s="1"/>
  <c r="D12" i="5"/>
  <c r="H12" i="5" s="1"/>
  <c r="D20" i="5"/>
  <c r="G20" i="5" s="1"/>
  <c r="D22" i="5"/>
  <c r="I22" i="5" s="1"/>
  <c r="D21" i="5"/>
  <c r="E21" i="5" s="1"/>
  <c r="D13" i="5"/>
  <c r="G13" i="5" s="1"/>
  <c r="D11" i="5"/>
  <c r="G11" i="5" s="1"/>
  <c r="D10" i="5"/>
  <c r="G10" i="5" s="1"/>
  <c r="D26" i="5"/>
  <c r="I26" i="5" s="1"/>
  <c r="D23" i="5"/>
  <c r="D16" i="5"/>
  <c r="F16" i="5" s="1"/>
  <c r="D6" i="5"/>
  <c r="H6" i="5" s="1"/>
  <c r="D19" i="5"/>
  <c r="E19" i="5" s="1"/>
  <c r="D18" i="5"/>
  <c r="G18" i="5" s="1"/>
  <c r="D15" i="5"/>
  <c r="F15" i="5" s="1"/>
  <c r="D9" i="5"/>
  <c r="E9" i="5" s="1"/>
  <c r="D7" i="5"/>
  <c r="H7" i="5" s="1"/>
  <c r="H18" i="5" l="1"/>
  <c r="F21" i="5"/>
  <c r="I21" i="5"/>
  <c r="I24" i="5"/>
  <c r="H9" i="5"/>
  <c r="H17" i="5"/>
  <c r="E17" i="5"/>
  <c r="I17" i="5"/>
  <c r="F17" i="5"/>
  <c r="F18" i="5"/>
  <c r="E18" i="5"/>
  <c r="G7" i="5"/>
  <c r="E7" i="5"/>
  <c r="F12" i="5"/>
  <c r="I12" i="5"/>
  <c r="F22" i="5"/>
  <c r="H22" i="5"/>
  <c r="E22" i="5"/>
  <c r="G22" i="5"/>
  <c r="E14" i="5"/>
  <c r="E20" i="5"/>
  <c r="I20" i="5"/>
  <c r="H20" i="5"/>
  <c r="F20" i="5"/>
  <c r="F7" i="5"/>
  <c r="I7" i="5"/>
  <c r="G24" i="5"/>
  <c r="I9" i="5"/>
  <c r="F24" i="5"/>
  <c r="G9" i="5"/>
  <c r="H24" i="5"/>
  <c r="F9" i="5"/>
  <c r="I18" i="5"/>
  <c r="H26" i="5"/>
  <c r="E13" i="5"/>
  <c r="G26" i="5"/>
  <c r="F10" i="5"/>
  <c r="E10" i="5"/>
  <c r="H14" i="5"/>
  <c r="H10" i="5"/>
  <c r="I10" i="5"/>
  <c r="E12" i="5"/>
  <c r="I14" i="5"/>
  <c r="G21" i="5"/>
  <c r="G12" i="5"/>
  <c r="F14" i="5"/>
  <c r="H21" i="5"/>
  <c r="E26" i="5"/>
  <c r="F26" i="5"/>
  <c r="H16" i="5"/>
  <c r="I15" i="5"/>
  <c r="E11" i="5"/>
  <c r="I13" i="5"/>
  <c r="E16" i="5"/>
  <c r="H15" i="5"/>
  <c r="H11" i="5"/>
  <c r="F19" i="5"/>
  <c r="F23" i="5"/>
  <c r="G23" i="5"/>
  <c r="E23" i="5"/>
  <c r="H23" i="5"/>
  <c r="I23" i="5"/>
  <c r="I11" i="5"/>
  <c r="E15" i="5"/>
  <c r="F13" i="5"/>
  <c r="I16" i="5"/>
  <c r="G15" i="5"/>
  <c r="F11" i="5"/>
  <c r="H13" i="5"/>
  <c r="G16" i="5"/>
  <c r="G6" i="5"/>
  <c r="F6" i="5"/>
  <c r="E6" i="5"/>
  <c r="I25" i="5"/>
  <c r="E25" i="5"/>
  <c r="F25" i="5"/>
  <c r="H25" i="5"/>
  <c r="G25" i="5"/>
  <c r="I6" i="5"/>
  <c r="I19" i="5"/>
  <c r="G19" i="5"/>
  <c r="H19" i="5"/>
  <c r="F8" i="5"/>
  <c r="I8" i="5"/>
  <c r="G8" i="5"/>
  <c r="E8" i="5"/>
  <c r="H8" i="5"/>
  <c r="H27" i="5" l="1"/>
  <c r="H28" i="5" s="1"/>
  <c r="K3" i="9" s="1"/>
  <c r="I27" i="5"/>
  <c r="I28" i="5" s="1"/>
  <c r="K4" i="9" s="1"/>
  <c r="G27" i="5"/>
  <c r="N28" i="9" l="1"/>
  <c r="N20" i="9" s="1"/>
  <c r="O20" i="9" s="1"/>
  <c r="N23" i="9" l="1"/>
  <c r="O23" i="9" s="1"/>
  <c r="N7" i="9"/>
  <c r="O7" i="9" s="1"/>
  <c r="N10" i="9"/>
  <c r="O10" i="9" s="1"/>
  <c r="N13" i="9"/>
  <c r="O13" i="9" s="1"/>
  <c r="N22" i="9"/>
  <c r="O22" i="9" s="1"/>
  <c r="N17" i="9"/>
  <c r="O17" i="9" s="1"/>
  <c r="N8" i="9"/>
  <c r="O8" i="9" s="1"/>
  <c r="N6" i="9"/>
  <c r="O6" i="9" s="1"/>
  <c r="N21" i="9"/>
  <c r="O21" i="9" s="1"/>
  <c r="N12" i="9"/>
  <c r="O12" i="9" s="1"/>
  <c r="N16" i="9"/>
  <c r="O16" i="9" s="1"/>
  <c r="N14" i="9"/>
  <c r="O14" i="9" s="1"/>
  <c r="N15" i="9"/>
  <c r="O15" i="9" s="1"/>
  <c r="N11" i="9"/>
  <c r="O11" i="9" s="1"/>
  <c r="N26" i="9"/>
  <c r="O26" i="9" s="1"/>
  <c r="N25" i="9"/>
  <c r="O25" i="9" s="1"/>
  <c r="N24" i="9"/>
  <c r="O24" i="9" s="1"/>
  <c r="N19" i="9"/>
  <c r="O19" i="9" s="1"/>
  <c r="N18" i="9"/>
  <c r="O18" i="9" s="1"/>
  <c r="N9" i="9"/>
  <c r="O9" i="9" s="1"/>
  <c r="O27" i="9" l="1" a="1"/>
  <c r="O27" i="9" s="1"/>
  <c r="N29" i="9" s="1"/>
  <c r="N27" i="9" s="1" a="1"/>
  <c r="N27" i="9" s="1"/>
  <c r="N30" i="9" s="1" a="1"/>
  <c r="N30" i="9" s="1"/>
  <c r="N31" i="9" s="1"/>
  <c r="D17" i="9" s="1"/>
  <c r="D6" i="9" l="1"/>
  <c r="E6" i="9" s="1"/>
  <c r="F6" i="9" s="1"/>
  <c r="E17" i="9"/>
  <c r="F17" i="9" s="1"/>
  <c r="I17" i="9"/>
  <c r="H17" i="9"/>
  <c r="G17" i="9"/>
  <c r="G6" i="9"/>
  <c r="D10" i="9"/>
  <c r="D22" i="9"/>
  <c r="D24" i="9"/>
  <c r="D21" i="9"/>
  <c r="D19" i="9"/>
  <c r="D18" i="9"/>
  <c r="D16" i="9"/>
  <c r="D9" i="9"/>
  <c r="D23" i="9"/>
  <c r="D12" i="9"/>
  <c r="D15" i="9"/>
  <c r="D25" i="9"/>
  <c r="D11" i="9"/>
  <c r="D14" i="9"/>
  <c r="D13" i="9"/>
  <c r="D20" i="9"/>
  <c r="D26" i="9"/>
  <c r="D8" i="9"/>
  <c r="D7" i="9"/>
  <c r="H6" i="9" l="1"/>
  <c r="I6" i="9"/>
  <c r="H18" i="9"/>
  <c r="I18" i="9"/>
  <c r="E18" i="9"/>
  <c r="F18" i="9" s="1"/>
  <c r="G18" i="9"/>
  <c r="E7" i="9"/>
  <c r="F7" i="9" s="1"/>
  <c r="I7" i="9"/>
  <c r="G7" i="9"/>
  <c r="H7" i="9"/>
  <c r="I15" i="9"/>
  <c r="G15" i="9"/>
  <c r="H15" i="9"/>
  <c r="E15" i="9"/>
  <c r="F15" i="9" s="1"/>
  <c r="I12" i="9"/>
  <c r="E12" i="9"/>
  <c r="F12" i="9" s="1"/>
  <c r="H12" i="9"/>
  <c r="G12" i="9"/>
  <c r="H9" i="9"/>
  <c r="G9" i="9"/>
  <c r="I9" i="9"/>
  <c r="E9" i="9"/>
  <c r="F9" i="9" s="1"/>
  <c r="E16" i="9"/>
  <c r="F16" i="9" s="1"/>
  <c r="H16" i="9"/>
  <c r="I16" i="9"/>
  <c r="G16" i="9"/>
  <c r="E19" i="9"/>
  <c r="F19" i="9" s="1"/>
  <c r="I19" i="9"/>
  <c r="H19" i="9"/>
  <c r="G19" i="9"/>
  <c r="H21" i="9"/>
  <c r="G21" i="9"/>
  <c r="I21" i="9"/>
  <c r="E21" i="9"/>
  <c r="F21" i="9" s="1"/>
  <c r="G24" i="9"/>
  <c r="I24" i="9"/>
  <c r="E24" i="9"/>
  <c r="F24" i="9" s="1"/>
  <c r="H24" i="9"/>
  <c r="H8" i="9"/>
  <c r="E8" i="9"/>
  <c r="F8" i="9" s="1"/>
  <c r="G8" i="9"/>
  <c r="I8" i="9"/>
  <c r="G22" i="9"/>
  <c r="E22" i="9"/>
  <c r="F22" i="9" s="1"/>
  <c r="I22" i="9"/>
  <c r="H22" i="9"/>
  <c r="E26" i="9"/>
  <c r="F26" i="9" s="1"/>
  <c r="I26" i="9"/>
  <c r="H26" i="9"/>
  <c r="G26" i="9"/>
  <c r="I10" i="9"/>
  <c r="E10" i="9"/>
  <c r="F10" i="9" s="1"/>
  <c r="G10" i="9"/>
  <c r="H10" i="9"/>
  <c r="H20" i="9"/>
  <c r="G20" i="9"/>
  <c r="E20" i="9"/>
  <c r="F20" i="9" s="1"/>
  <c r="I20" i="9"/>
  <c r="G13" i="9"/>
  <c r="E13" i="9"/>
  <c r="F13" i="9" s="1"/>
  <c r="I13" i="9"/>
  <c r="H13" i="9"/>
  <c r="I14" i="9"/>
  <c r="H14" i="9"/>
  <c r="G14" i="9"/>
  <c r="E14" i="9"/>
  <c r="F14" i="9" s="1"/>
  <c r="G11" i="9"/>
  <c r="E11" i="9"/>
  <c r="F11" i="9" s="1"/>
  <c r="I11" i="9"/>
  <c r="H11" i="9"/>
  <c r="H25" i="9"/>
  <c r="E25" i="9"/>
  <c r="F25" i="9" s="1"/>
  <c r="G25" i="9"/>
  <c r="I25" i="9"/>
  <c r="E23" i="9"/>
  <c r="F23" i="9" s="1"/>
  <c r="H23" i="9"/>
  <c r="G23" i="9"/>
  <c r="I23" i="9"/>
  <c r="H27" i="9" l="1"/>
  <c r="H28" i="9" s="1"/>
  <c r="K3" i="10" s="1"/>
  <c r="I27" i="9"/>
  <c r="I28" i="9" s="1"/>
  <c r="K4" i="10" s="1"/>
  <c r="G27" i="9"/>
  <c r="N28" i="10" l="1"/>
  <c r="N22" i="10" l="1"/>
  <c r="O22" i="10" s="1"/>
  <c r="N9" i="10"/>
  <c r="O9" i="10" s="1"/>
  <c r="N12" i="10"/>
  <c r="O12" i="10" s="1"/>
  <c r="N25" i="10"/>
  <c r="O25" i="10" s="1"/>
  <c r="N13" i="10"/>
  <c r="O13" i="10" s="1"/>
  <c r="N14" i="10"/>
  <c r="O14" i="10" s="1"/>
  <c r="N24" i="10"/>
  <c r="O24" i="10" s="1"/>
  <c r="N7" i="10"/>
  <c r="O7" i="10" s="1"/>
  <c r="N23" i="10"/>
  <c r="O23" i="10" s="1"/>
  <c r="N17" i="10"/>
  <c r="O17" i="10" s="1"/>
  <c r="N20" i="10"/>
  <c r="O20" i="10" s="1"/>
  <c r="N15" i="10"/>
  <c r="O15" i="10" s="1"/>
  <c r="N16" i="10"/>
  <c r="O16" i="10" s="1"/>
  <c r="N26" i="10"/>
  <c r="O26" i="10" s="1"/>
  <c r="N18" i="10"/>
  <c r="O18" i="10" s="1"/>
  <c r="N10" i="10"/>
  <c r="O10" i="10" s="1"/>
  <c r="N6" i="10"/>
  <c r="N19" i="10"/>
  <c r="O19" i="10" s="1"/>
  <c r="N11" i="10"/>
  <c r="O11" i="10" s="1"/>
  <c r="N8" i="10"/>
  <c r="O8" i="10" s="1"/>
  <c r="N21" i="10"/>
  <c r="O21" i="10" s="1"/>
  <c r="O6" i="10" l="1"/>
  <c r="O27" i="10" s="1"/>
  <c r="N29" i="10" l="1"/>
  <c r="N27" i="10" l="1" a="1"/>
  <c r="N27" i="10" s="1"/>
  <c r="N30" i="10" l="1" a="1"/>
  <c r="N30" i="10" s="1"/>
  <c r="N31" i="10" s="1"/>
  <c r="D6" i="10" s="1"/>
  <c r="D24" i="10" l="1"/>
  <c r="G24" i="10" s="1"/>
  <c r="D22" i="10"/>
  <c r="E22" i="10" s="1"/>
  <c r="F22" i="10" s="1"/>
  <c r="D25" i="10"/>
  <c r="H25" i="10" s="1"/>
  <c r="D11" i="10"/>
  <c r="I11" i="10" s="1"/>
  <c r="D18" i="10"/>
  <c r="G18" i="10" s="1"/>
  <c r="D12" i="10"/>
  <c r="G12" i="10" s="1"/>
  <c r="D7" i="10"/>
  <c r="H7" i="10" s="1"/>
  <c r="D19" i="10"/>
  <c r="E19" i="10" s="1"/>
  <c r="F19" i="10" s="1"/>
  <c r="D10" i="10"/>
  <c r="H10" i="10" s="1"/>
  <c r="D21" i="10"/>
  <c r="H21" i="10" s="1"/>
  <c r="D15" i="10"/>
  <c r="I15" i="10" s="1"/>
  <c r="D20" i="10"/>
  <c r="I20" i="10" s="1"/>
  <c r="D26" i="10"/>
  <c r="H26" i="10" s="1"/>
  <c r="D9" i="10"/>
  <c r="E9" i="10" s="1"/>
  <c r="F9" i="10" s="1"/>
  <c r="D8" i="10"/>
  <c r="I8" i="10" s="1"/>
  <c r="D23" i="10"/>
  <c r="I23" i="10" s="1"/>
  <c r="D14" i="10"/>
  <c r="H14" i="10" s="1"/>
  <c r="D16" i="10"/>
  <c r="G16" i="10" s="1"/>
  <c r="D17" i="10"/>
  <c r="I17" i="10" s="1"/>
  <c r="D13" i="10"/>
  <c r="G13" i="10" s="1"/>
  <c r="G6" i="10"/>
  <c r="E6" i="10"/>
  <c r="F6" i="10" s="1"/>
  <c r="I6" i="10"/>
  <c r="H6" i="10"/>
  <c r="I19" i="10" l="1"/>
  <c r="I18" i="10"/>
  <c r="E18" i="10"/>
  <c r="F18" i="10" s="1"/>
  <c r="I25" i="10"/>
  <c r="E25" i="10"/>
  <c r="F25" i="10" s="1"/>
  <c r="G25" i="10"/>
  <c r="I22" i="10"/>
  <c r="G22" i="10"/>
  <c r="H22" i="10"/>
  <c r="H18" i="10"/>
  <c r="E24" i="10"/>
  <c r="F24" i="10" s="1"/>
  <c r="I24" i="10"/>
  <c r="H24" i="10"/>
  <c r="H12" i="10"/>
  <c r="E12" i="10"/>
  <c r="F12" i="10" s="1"/>
  <c r="H11" i="10"/>
  <c r="G11" i="10"/>
  <c r="E11" i="10"/>
  <c r="F11" i="10" s="1"/>
  <c r="I12" i="10"/>
  <c r="I7" i="10"/>
  <c r="E7" i="10"/>
  <c r="F7" i="10" s="1"/>
  <c r="G7" i="10"/>
  <c r="G10" i="10"/>
  <c r="I10" i="10"/>
  <c r="E23" i="10"/>
  <c r="F23" i="10" s="1"/>
  <c r="H23" i="10"/>
  <c r="G8" i="10"/>
  <c r="G23" i="10"/>
  <c r="H20" i="10"/>
  <c r="E8" i="10"/>
  <c r="F8" i="10" s="1"/>
  <c r="G20" i="10"/>
  <c r="E15" i="10"/>
  <c r="F15" i="10" s="1"/>
  <c r="E20" i="10"/>
  <c r="F20" i="10" s="1"/>
  <c r="G15" i="10"/>
  <c r="H15" i="10"/>
  <c r="E10" i="10"/>
  <c r="F10" i="10" s="1"/>
  <c r="H8" i="10"/>
  <c r="E16" i="10"/>
  <c r="F16" i="10" s="1"/>
  <c r="I9" i="10"/>
  <c r="I13" i="10"/>
  <c r="H16" i="10"/>
  <c r="E13" i="10"/>
  <c r="F13" i="10" s="1"/>
  <c r="I16" i="10"/>
  <c r="H13" i="10"/>
  <c r="G26" i="10"/>
  <c r="E17" i="10"/>
  <c r="F17" i="10" s="1"/>
  <c r="G19" i="10"/>
  <c r="G9" i="10"/>
  <c r="H9" i="10"/>
  <c r="G17" i="10"/>
  <c r="E14" i="10"/>
  <c r="F14" i="10" s="1"/>
  <c r="G21" i="10"/>
  <c r="H19" i="10"/>
  <c r="I14" i="10"/>
  <c r="I26" i="10"/>
  <c r="E21" i="10"/>
  <c r="F21" i="10" s="1"/>
  <c r="H17" i="10"/>
  <c r="G14" i="10"/>
  <c r="E26" i="10"/>
  <c r="F26" i="10" s="1"/>
  <c r="I21" i="10"/>
  <c r="I27" i="10" l="1"/>
  <c r="I28" i="10" s="1"/>
  <c r="K4" i="11" s="1"/>
  <c r="H27" i="10"/>
  <c r="H28" i="10" s="1"/>
  <c r="K3" i="11" s="1"/>
  <c r="G27" i="10"/>
  <c r="N28" i="11" l="1"/>
  <c r="N9" i="11" l="1"/>
  <c r="O9" i="11" s="1"/>
  <c r="N20" i="11"/>
  <c r="O20" i="11" s="1"/>
  <c r="N24" i="11"/>
  <c r="O24" i="11" s="1"/>
  <c r="N13" i="11"/>
  <c r="O13" i="11" s="1"/>
  <c r="N22" i="11"/>
  <c r="O22" i="11" s="1"/>
  <c r="N18" i="11"/>
  <c r="O18" i="11" s="1"/>
  <c r="N17" i="11"/>
  <c r="O17" i="11" s="1"/>
  <c r="N15" i="11"/>
  <c r="O15" i="11" s="1"/>
  <c r="N16" i="11"/>
  <c r="O16" i="11" s="1"/>
  <c r="N19" i="11"/>
  <c r="O19" i="11" s="1"/>
  <c r="N11" i="11"/>
  <c r="O11" i="11" s="1"/>
  <c r="N23" i="11"/>
  <c r="O23" i="11" s="1"/>
  <c r="N21" i="11"/>
  <c r="O21" i="11" s="1"/>
  <c r="N12" i="11"/>
  <c r="O12" i="11" s="1"/>
  <c r="N8" i="11"/>
  <c r="O8" i="11" s="1"/>
  <c r="N7" i="11"/>
  <c r="O7" i="11" s="1"/>
  <c r="N6" i="11"/>
  <c r="N14" i="11"/>
  <c r="O14" i="11" s="1"/>
  <c r="N26" i="11"/>
  <c r="O26" i="11" s="1"/>
  <c r="N10" i="11"/>
  <c r="O10" i="11" s="1"/>
  <c r="N25" i="11"/>
  <c r="O25" i="11" s="1"/>
  <c r="O6" i="11" l="1"/>
  <c r="O27" i="11" s="1" a="1"/>
  <c r="O27" i="11" s="1"/>
  <c r="N29" i="11" s="1"/>
  <c r="N27" i="11" l="1" a="1"/>
  <c r="N27" i="11" s="1"/>
  <c r="N30" i="11" s="1" a="1"/>
  <c r="N30" i="11" s="1"/>
  <c r="N31" i="11" s="1"/>
  <c r="D24" i="11" s="1"/>
  <c r="D9" i="11" l="1"/>
  <c r="D7" i="11"/>
  <c r="D6" i="11"/>
  <c r="E6" i="11" s="1"/>
  <c r="F6" i="11" s="1"/>
  <c r="D8" i="11"/>
  <c r="D11" i="11"/>
  <c r="E11" i="11" s="1"/>
  <c r="F11" i="11" s="1"/>
  <c r="D15" i="11"/>
  <c r="I15" i="11" s="1"/>
  <c r="D18" i="11"/>
  <c r="I18" i="11" s="1"/>
  <c r="D14" i="11"/>
  <c r="I14" i="11" s="1"/>
  <c r="D17" i="11"/>
  <c r="E17" i="11" s="1"/>
  <c r="F17" i="11" s="1"/>
  <c r="D22" i="11"/>
  <c r="I22" i="11" s="1"/>
  <c r="G24" i="11"/>
  <c r="I24" i="11"/>
  <c r="H24" i="11"/>
  <c r="E24" i="11"/>
  <c r="F24" i="11" s="1"/>
  <c r="D20" i="11"/>
  <c r="D16" i="11"/>
  <c r="D10" i="11"/>
  <c r="D23" i="11"/>
  <c r="D13" i="11"/>
  <c r="D19" i="11"/>
  <c r="D21" i="11"/>
  <c r="D25" i="11"/>
  <c r="D26" i="11"/>
  <c r="D12" i="11"/>
  <c r="E14" i="11" l="1"/>
  <c r="F14" i="11" s="1"/>
  <c r="H14" i="11"/>
  <c r="G14" i="11"/>
  <c r="G17" i="11"/>
  <c r="E22" i="11"/>
  <c r="F22" i="11" s="1"/>
  <c r="G22" i="11"/>
  <c r="H18" i="11"/>
  <c r="H22" i="11"/>
  <c r="E15" i="11"/>
  <c r="F15" i="11" s="1"/>
  <c r="I11" i="11"/>
  <c r="H11" i="11"/>
  <c r="H6" i="11"/>
  <c r="G6" i="11"/>
  <c r="I6" i="11"/>
  <c r="I17" i="11"/>
  <c r="H17" i="11"/>
  <c r="G15" i="11"/>
  <c r="H15" i="11"/>
  <c r="G11" i="11"/>
  <c r="G18" i="11"/>
  <c r="E18" i="11"/>
  <c r="F18" i="11" s="1"/>
  <c r="H21" i="11"/>
  <c r="I21" i="11"/>
  <c r="E21" i="11"/>
  <c r="F21" i="11" s="1"/>
  <c r="G21" i="11"/>
  <c r="H7" i="11"/>
  <c r="G7" i="11"/>
  <c r="E7" i="11"/>
  <c r="F7" i="11" s="1"/>
  <c r="I7" i="11"/>
  <c r="H23" i="11"/>
  <c r="I23" i="11"/>
  <c r="G23" i="11"/>
  <c r="E23" i="11"/>
  <c r="F23" i="11" s="1"/>
  <c r="G20" i="11"/>
  <c r="I20" i="11"/>
  <c r="H20" i="11"/>
  <c r="E20" i="11"/>
  <c r="F20" i="11" s="1"/>
  <c r="E9" i="11"/>
  <c r="F9" i="11" s="1"/>
  <c r="I9" i="11"/>
  <c r="H9" i="11"/>
  <c r="G9" i="11"/>
  <c r="G12" i="11"/>
  <c r="H12" i="11"/>
  <c r="E12" i="11"/>
  <c r="F12" i="11" s="1"/>
  <c r="H26" i="11"/>
  <c r="G26" i="11"/>
  <c r="I26" i="11"/>
  <c r="E26" i="11"/>
  <c r="F26" i="11" s="1"/>
  <c r="I25" i="11"/>
  <c r="E25" i="11"/>
  <c r="F25" i="11" s="1"/>
  <c r="G25" i="11"/>
  <c r="H25" i="11"/>
  <c r="H19" i="11"/>
  <c r="E19" i="11"/>
  <c r="F19" i="11" s="1"/>
  <c r="I19" i="11"/>
  <c r="G19" i="11"/>
  <c r="I13" i="11"/>
  <c r="E13" i="11"/>
  <c r="F13" i="11" s="1"/>
  <c r="G13" i="11"/>
  <c r="H13" i="11"/>
  <c r="I16" i="11"/>
  <c r="H16" i="11"/>
  <c r="E16" i="11"/>
  <c r="F16" i="11" s="1"/>
  <c r="G16" i="11"/>
  <c r="E8" i="11"/>
  <c r="F8" i="11" s="1"/>
  <c r="G8" i="11"/>
  <c r="I8" i="11"/>
  <c r="H8" i="11"/>
  <c r="E10" i="11"/>
  <c r="F10" i="11" s="1"/>
  <c r="G10" i="11"/>
  <c r="H10" i="11"/>
  <c r="I10" i="11"/>
  <c r="I27" i="11" l="1"/>
  <c r="I28" i="11" s="1"/>
  <c r="H27" i="11"/>
  <c r="H28" i="11" s="1"/>
  <c r="G2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<sst xmlns="http://schemas.openxmlformats.org/spreadsheetml/2006/main" count="228" uniqueCount="107">
  <si>
    <t>Isolat</t>
  </si>
  <si>
    <t>Name</t>
  </si>
  <si>
    <t>Menge [g]</t>
  </si>
  <si>
    <t>Preis [€]</t>
  </si>
  <si>
    <t>Skyr</t>
  </si>
  <si>
    <t>Magerquark</t>
  </si>
  <si>
    <t>MyProtein</t>
  </si>
  <si>
    <t>Aldi</t>
  </si>
  <si>
    <t>Meal 1</t>
  </si>
  <si>
    <t>Kalorien [kcal/100g]</t>
  </si>
  <si>
    <t>Fett [g/100g]</t>
  </si>
  <si>
    <t>Kohlenhydrate [g/100g]</t>
  </si>
  <si>
    <t>Supermarkt</t>
  </si>
  <si>
    <t>pro 100g</t>
  </si>
  <si>
    <t>Eiweiß [g/100g]</t>
  </si>
  <si>
    <t>Kalorien [kcal]</t>
  </si>
  <si>
    <t>Zutat [Name aus Tabelle]</t>
  </si>
  <si>
    <t>Proteine [g]</t>
  </si>
  <si>
    <t>Kosten [€]</t>
  </si>
  <si>
    <t>Ergebnis</t>
  </si>
  <si>
    <t>Zutaten-Datenbank</t>
  </si>
  <si>
    <t>Berechnete Menge [g]</t>
  </si>
  <si>
    <t>Proteinmassendichte [g/g]</t>
  </si>
  <si>
    <t>Kalorienmassedichte [kcal/g]</t>
  </si>
  <si>
    <t>Kaloriendichte [kcal/g]</t>
  </si>
  <si>
    <t>Proteindichte [g/g]</t>
  </si>
  <si>
    <t>Kartoffeln</t>
  </si>
  <si>
    <t>Proteine vorher [g]</t>
  </si>
  <si>
    <t>Kalorien vorher [kcal]</t>
  </si>
  <si>
    <t>Kosten[€/g]</t>
  </si>
  <si>
    <t>Ziele</t>
  </si>
  <si>
    <t>Kalorienbedarf [kcal]:</t>
  </si>
  <si>
    <t>Proteinbedarf [g]:</t>
  </si>
  <si>
    <t xml:space="preserve"> Kalorienbedarf [kcal]:</t>
  </si>
  <si>
    <t xml:space="preserve"> Proteinbedarf [g]:</t>
  </si>
  <si>
    <t xml:space="preserve"> Anzahl an Mahlzeiten [-]:</t>
  </si>
  <si>
    <t>Grüne Bohnen</t>
  </si>
  <si>
    <t>Feta-Käse</t>
  </si>
  <si>
    <t>Rinderhackfleisch</t>
  </si>
  <si>
    <t>Meal 2</t>
  </si>
  <si>
    <t>Meal 3</t>
  </si>
  <si>
    <t>Meal 4</t>
  </si>
  <si>
    <t>Typ</t>
  </si>
  <si>
    <t>Gemüse</t>
  </si>
  <si>
    <t>Kohlenhydrate</t>
  </si>
  <si>
    <t>Protein</t>
  </si>
  <si>
    <t>Fett</t>
  </si>
  <si>
    <t>Info</t>
  </si>
  <si>
    <t>Proteinpreis [€/g]</t>
  </si>
  <si>
    <t>Hähnchenbrustfilet</t>
  </si>
  <si>
    <t>Berechnung</t>
  </si>
  <si>
    <t>Lachs</t>
  </si>
  <si>
    <t>Eier</t>
  </si>
  <si>
    <t>Marke</t>
  </si>
  <si>
    <t>Amazon</t>
  </si>
  <si>
    <t>Milsani</t>
  </si>
  <si>
    <t>Padro?</t>
  </si>
  <si>
    <t>Haferflocken</t>
  </si>
  <si>
    <t>Kölln</t>
  </si>
  <si>
    <t>Spalte1</t>
  </si>
  <si>
    <t>Geschmack</t>
  </si>
  <si>
    <t>AllSeasons</t>
  </si>
  <si>
    <t>Beerenmischung</t>
  </si>
  <si>
    <t>Übrige Kalorien/Proteine:</t>
  </si>
  <si>
    <t>Creme Fraiche</t>
  </si>
  <si>
    <t>Ja!</t>
  </si>
  <si>
    <t>Rewe</t>
  </si>
  <si>
    <t>Brokkoli</t>
  </si>
  <si>
    <t>Kokosmilch</t>
  </si>
  <si>
    <t>Brot</t>
  </si>
  <si>
    <t>Cherry-Tomaten</t>
  </si>
  <si>
    <t>Apfel</t>
  </si>
  <si>
    <t>Milch</t>
  </si>
  <si>
    <t>Mandeln</t>
  </si>
  <si>
    <t>Obst</t>
  </si>
  <si>
    <t>Snack-Äpfel</t>
  </si>
  <si>
    <t>Hüttenkäse</t>
  </si>
  <si>
    <t>Gervais</t>
  </si>
  <si>
    <t>Couscous</t>
  </si>
  <si>
    <t>Grünes Pesto</t>
  </si>
  <si>
    <t>Barilla</t>
  </si>
  <si>
    <t>Gesamtmenge [g]</t>
  </si>
  <si>
    <t xml:space="preserve"> Tage [d]:</t>
  </si>
  <si>
    <t>Skal. Gesamtmenge [g]</t>
  </si>
  <si>
    <t>Basmati-Reis (ungekocht)</t>
  </si>
  <si>
    <t>Honig</t>
  </si>
  <si>
    <t>Körniger Frischkäse</t>
  </si>
  <si>
    <t>Gut&amp;Günstig</t>
  </si>
  <si>
    <t>Edeka</t>
  </si>
  <si>
    <t>Massenanpassung</t>
  </si>
  <si>
    <t>Relative Abweichung</t>
  </si>
  <si>
    <t>P_soll/K_soll</t>
  </si>
  <si>
    <t>min rel. Abw. Zeile</t>
  </si>
  <si>
    <t>K_ges mit neuer Masse</t>
  </si>
  <si>
    <t>skal. Faktor für Massen</t>
  </si>
  <si>
    <t xml:space="preserve"> </t>
  </si>
  <si>
    <t>Linsen</t>
  </si>
  <si>
    <t>Babyspinat</t>
  </si>
  <si>
    <t>Zwiebeln</t>
  </si>
  <si>
    <t>Ingwer</t>
  </si>
  <si>
    <t>Knoblauch</t>
  </si>
  <si>
    <t>Olivenöl</t>
  </si>
  <si>
    <t>Thai-Currypaste</t>
  </si>
  <si>
    <t>Dosentomaten</t>
  </si>
  <si>
    <t>Eiweiß</t>
  </si>
  <si>
    <t>Pumperlgsund</t>
  </si>
  <si>
    <t>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</si>
</sst>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\ &quot;€&quot;"/>
    <numFmt numFmtId="166" formatCode="0.0"/>
    <numFmt numFmtId="167" formatCode="0.0000"/>
    <numFmt numFmtId="168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166" fontId="1" fillId="0" borderId="0" xfId="0" applyNumberFormat="1" applyFont="1"/>
    <xf numFmtId="165" fontId="1" fillId="0" borderId="0" xfId="0" applyNumberFormat="1" applyFont="1"/>
    <xf numFmtId="1" fontId="0" fillId="2" borderId="0" xfId="0" applyNumberFormat="1" applyFill="1"/>
    <xf numFmtId="2" fontId="0" fillId="2" borderId="0" xfId="0" applyNumberFormat="1" applyFill="1"/>
    <xf numFmtId="167" fontId="0" fillId="0" borderId="0" xfId="0" applyNumberFormat="1"/>
    <xf numFmtId="0" fontId="4" fillId="2" borderId="0" xfId="0" applyFont="1" applyFill="1" applyAlignment="1">
      <alignment vertical="center"/>
    </xf>
    <xf numFmtId="0" fontId="3" fillId="2" borderId="0" xfId="0" applyFont="1" applyFill="1"/>
    <xf numFmtId="1" fontId="1" fillId="3" borderId="0" xfId="0" applyNumberFormat="1" applyFont="1" applyFill="1"/>
    <xf numFmtId="1" fontId="0" fillId="3" borderId="0" xfId="0" applyNumberFormat="1" applyFill="1" applyAlignment="1">
      <alignment horizontal="right"/>
    </xf>
    <xf numFmtId="1" fontId="0" fillId="4" borderId="0" xfId="0" applyNumberFormat="1" applyFill="1" applyAlignment="1">
      <alignment horizontal="right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right"/>
    </xf>
    <xf numFmtId="0" fontId="0" fillId="5" borderId="4" xfId="0" applyFill="1" applyBorder="1"/>
    <xf numFmtId="0" fontId="0" fillId="0" borderId="4" xfId="0" applyBorder="1"/>
    <xf numFmtId="0" fontId="3" fillId="2" borderId="0" xfId="0" applyFont="1" applyFill="1" applyAlignment="1">
      <alignment horizontal="right"/>
    </xf>
    <xf numFmtId="168" fontId="1" fillId="4" borderId="0" xfId="0" applyNumberFormat="1" applyFont="1" applyFill="1" applyAlignment="1">
      <alignment horizontal="left"/>
    </xf>
    <xf numFmtId="1" fontId="1" fillId="4" borderId="0" xfId="0" applyNumberFormat="1" applyFont="1" applyFill="1" applyAlignment="1">
      <alignment horizontal="left"/>
    </xf>
    <xf numFmtId="2" fontId="1" fillId="4" borderId="0" xfId="0" applyNumberFormat="1" applyFont="1" applyFill="1" applyAlignment="1">
      <alignment horizontal="left"/>
    </xf>
    <xf numFmtId="1" fontId="0" fillId="5" borderId="5" xfId="0" applyNumberFormat="1" applyFill="1" applyBorder="1"/>
    <xf numFmtId="1" fontId="0" fillId="0" borderId="5" xfId="0" applyNumberFormat="1" applyBorder="1"/>
    <xf numFmtId="1" fontId="0" fillId="3" borderId="0" xfId="0" applyNumberFormat="1" applyFill="1"/>
    <xf numFmtId="0" fontId="0" fillId="0" borderId="0" xfId="0" applyAlignment="1">
      <alignment horizontal="right"/>
    </xf>
    <xf numFmtId="167" fontId="0" fillId="0" borderId="0" xfId="0" applyNumberFormat="1" applyAlignment="1">
      <alignment vertical="top"/>
    </xf>
    <xf numFmtId="0" fontId="4" fillId="2" borderId="0" xfId="0" applyFont="1" applyFill="1" applyAlignment="1">
      <alignment horizontal="left" vertical="center"/>
    </xf>
    <xf numFmtId="1" fontId="0" fillId="3" borderId="0" xfId="0" applyNumberFormat="1" applyFill="1" applyAlignment="1">
      <alignment horizontal="left"/>
    </xf>
    <xf numFmtId="1" fontId="0" fillId="4" borderId="0" xfId="0" applyNumberForma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Border="1"/>
  </cellXfs>
  <cellStyles count="1">
    <cellStyle name="Standard" xfId="0" builtinId="0"/>
  </cellStyles>
  <dxfs count="90">
    <dxf>
      <numFmt numFmtId="164" formatCode="0.000"/>
    </dxf>
    <dxf>
      <numFmt numFmtId="2" formatCode="0.00"/>
    </dxf>
    <dxf>
      <numFmt numFmtId="167" formatCode="0.0000"/>
    </dxf>
    <dxf>
      <numFmt numFmtId="167" formatCode="0.0000"/>
    </dxf>
    <dxf>
      <numFmt numFmtId="165" formatCode="#,##0.00\ &quot;€&quot;"/>
    </dxf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4" formatCode="0.000"/>
    </dxf>
    <dxf>
      <numFmt numFmtId="164" formatCode="0.00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</font>
    </dxf>
    <dxf>
      <numFmt numFmtId="166" formatCode="0.0"/>
    </dxf>
    <dxf>
      <numFmt numFmtId="166" formatCode="0.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</font>
    </dxf>
    <dxf>
      <numFmt numFmtId="166" formatCode="0.0"/>
    </dxf>
    <dxf>
      <numFmt numFmtId="166" formatCode="0.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</font>
    </dxf>
    <dxf>
      <numFmt numFmtId="166" formatCode="0.0"/>
    </dxf>
    <dxf>
      <numFmt numFmtId="166" formatCode="0.0"/>
    </dxf>
    <dxf>
      <numFmt numFmtId="166" formatCode="0.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7" formatCode="0.0000"/>
    </dxf>
    <dxf>
      <numFmt numFmtId="167" formatCode="0.0000"/>
    </dxf>
    <dxf>
      <numFmt numFmtId="1" formatCode="0"/>
    </dxf>
    <dxf>
      <numFmt numFmtId="166" formatCode="0.0"/>
    </dxf>
    <dxf>
      <numFmt numFmtId="1" formatCode="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CFDBD3-FA5E-43E3-825D-672D9E0B8DF3}" name="Meal1" displayName="Meal1" ref="A5:O27" totalsRowCount="1">
  <autoFilter ref="A5:O26" xr:uid="{DBCFDBD3-FA5E-43E3-825D-672D9E0B8DF3}"/>
  <tableColumns count="15">
    <tableColumn id="1" xr3:uid="{F95BE4CA-4F5F-4101-BCB8-F587DE89D990}" name="Zutat [Name aus Tabelle]" totalsRowLabel="Ergebnis" dataDxfId="89"/>
    <tableColumn id="2" xr3:uid="{DA692AAD-CBE1-455A-951E-E35C0F10AD39}" name="Menge [g]" dataDxfId="88"/>
    <tableColumn id="5" xr3:uid="{01D86F7F-DD39-4947-AB0D-6A46322D7BA3}" name="Spalte1" dataDxfId="87"/>
    <tableColumn id="8" xr3:uid="{EA709020-1BF3-41D2-A2A4-0BDC4536EF60}" name="Berechnete Menge [g]" dataDxfId="86">
      <calculatedColumnFormula>IF(ROW()-5=$N$29,Meal1[[#Totals],[Massenanpassung]]*$N$31,Meal1[[#This Row],[Menge '[g']]]*$N$31)</calculatedColumnFormula>
    </tableColumn>
    <tableColumn id="7" xr3:uid="{28F31372-71BB-415A-A200-6DB008B9EC52}" name="Gesamtmenge [g]" dataDxfId="85">
      <calculatedColumnFormula>Meal1[[#This Row],[Berechnete Menge '[g']]]*Input!$B$7</calculatedColumnFormula>
    </tableColumn>
    <tableColumn id="6" xr3:uid="{C499A1B9-F006-4B81-A2AC-AE981C14DEB7}" name="Skal. Gesamtmenge [g]" dataDxfId="84">
      <calculatedColumnFormula>Meal1[[#This Row],[Berechnete Menge '[g']]]*5.43</calculatedColumnFormula>
    </tableColumn>
    <tableColumn id="14" xr3:uid="{FD33D877-50E3-4257-A6E1-98B1CFD8AE62}" name="Kosten [€]" totalsRowFunction="sum" dataDxfId="83" totalsRowDxfId="82">
      <calculatedColumnFormula>IFERROR(VLOOKUP(Meal1[[#This Row],[Zutat '[Name aus Tabelle']]],Tabelle2[],11,FALSE)*Meal1[[#This Row],[Berechnete Menge '[g']]],"")</calculatedColumnFormula>
    </tableColumn>
    <tableColumn id="9" xr3:uid="{7EF337BB-7467-4121-B536-9653F3390F6A}" name="Kalorien [kcal]" totalsRowFunction="sum" dataDxfId="81" totalsRowDxfId="80">
      <calculatedColumnFormula>IFERROR(Meal1[[#This Row],[Berechnete Menge '[g']]]*Meal1[[#This Row],[Kaloriendichte '[kcal/g']]],"")</calculatedColumnFormula>
    </tableColumn>
    <tableColumn id="10" xr3:uid="{61891AF2-EE18-4709-9B14-0342BAD5A3DF}" name="Proteine [g]" totalsRowFunction="sum" dataDxfId="79" totalsRowDxfId="78">
      <calculatedColumnFormula>IFERROR(Meal1[[#This Row],[Berechnete Menge '[g']]]*Meal1[[#This Row],[Proteindichte '[g/g']]],"")</calculatedColumnFormula>
    </tableColumn>
    <tableColumn id="12" xr3:uid="{1FFDF8C2-20A4-428F-A2B0-E951E74C77DB}" name="Kaloriendichte [kcal/g]" dataDxfId="77">
      <calculatedColumnFormula>IFERROR(VLOOKUP(Meal1[[#This Row],[Zutat '[Name aus Tabelle']]],Tabelle2[],13,FALSE),"")</calculatedColumnFormula>
    </tableColumn>
    <tableColumn id="13" xr3:uid="{0FCB482F-3C7B-4D05-BCEA-120EE87108AD}" name="Proteindichte [g/g]" dataDxfId="76">
      <calculatedColumnFormula>IFERROR(VLOOKUP(Meal1[[#This Row],[Zutat '[Name aus Tabelle']]],Tabelle2[],14,FALSE),"")</calculatedColumnFormula>
    </tableColumn>
    <tableColumn id="3" xr3:uid="{BE5C58A3-557B-4509-ACDE-8F166CC1C737}" name="Kalorien vorher [kcal]" totalsRowFunction="sum" dataDxfId="75" totalsRowDxfId="74">
      <calculatedColumnFormula>IFERROR(Meal1[[#This Row],[Kaloriendichte '[kcal/g']]]*Meal1[[#This Row],[Menge '[g']]],0)</calculatedColumnFormula>
    </tableColumn>
    <tableColumn id="4" xr3:uid="{47009204-809C-4826-9F88-A9820673D157}" name="Proteine vorher [g]" totalsRowFunction="sum" dataDxfId="73" totalsRowDxfId="72">
      <calculatedColumnFormula>IFERROR(Meal1[[#This Row],[Proteindichte '[g/g']]]*Meal1[[#This Row],[Menge '[g']]],0)</calculatedColumnFormula>
    </tableColumn>
    <tableColumn id="15" xr3:uid="{0AEE5999-EAC8-4A95-A32C-06F053C1385C}" name="Massenanpassung" totalsRowFunction="custom" dataDxfId="71">
      <calculatedColumnFormula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calculatedColumnFormula>
      <totalsRowFormula array="1">INDEX(Meal1[Massenanpassung],N29)</totalsRowFormula>
    </tableColumn>
    <tableColumn id="11" xr3:uid="{2AF11C00-C009-4741-B8EE-E8252D899869}" name="Relative Abweichung" totalsRowFunction="custom" dataDxfId="70" totalsRowDxfId="69">
      <calculatedColumnFormula>IFERROR(ABS(Meal1[[#This Row],[Massenanpassung]]-Meal1[[#This Row],[Menge '[g']]])/Meal1[[#This Row],[Menge '[g']]],1000000)</calculatedColumnFormula>
      <totalsRowFormula array="1">MIN(IF(Meal1[Massenanpassung]&lt;0,"",Meal1[Relative Abweichung]))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53B9BA8-3AF1-4905-9460-68EEE5EF2ADF}" name="Meal2" displayName="Meal2" ref="A5:O27" totalsRowCount="1">
  <autoFilter ref="A5:O26" xr:uid="{B53B9BA8-3AF1-4905-9460-68EEE5EF2ADF}"/>
  <tableColumns count="15">
    <tableColumn id="1" xr3:uid="{3863301A-ADAE-4A95-AA2A-AA4619B63FC9}" name="Zutat [Name aus Tabelle]" totalsRowLabel="Ergebnis" dataDxfId="68"/>
    <tableColumn id="2" xr3:uid="{0F32EA39-3B92-429F-A03F-12830C46CC64}" name="Menge [g]" dataDxfId="67"/>
    <tableColumn id="5" xr3:uid="{7CACA126-48D2-4AA2-9052-EBC0C1450BE6}" name="Spalte1" dataDxfId="66"/>
    <tableColumn id="8" xr3:uid="{8BDFBDF1-9CD5-4853-B0CD-27DCD005DA6E}" name="Berechnete Menge [g]" dataDxfId="65">
      <calculatedColumnFormula>IF(ROW()-5=$N$29,Meal2[[#Totals],[Massenanpassung]]*$N$31,Meal2[[#This Row],[Menge '[g']]]*$N$31)</calculatedColumnFormula>
    </tableColumn>
    <tableColumn id="7" xr3:uid="{52DBF261-1C15-4A20-9F2C-6D429AE65112}" name="Gesamtmenge [g]" dataDxfId="64">
      <calculatedColumnFormula>Meal2[[#This Row],[Berechnete Menge '[g']]]*Input!$B$7</calculatedColumnFormula>
    </tableColumn>
    <tableColumn id="6" xr3:uid="{09EEE0E2-96C0-4F76-9E35-291FBC3DB516}" name="Skal. Gesamtmenge [g]" dataDxfId="63">
      <calculatedColumnFormula>IFERROR(Meal2[[#This Row],[Gesamtmenge '[g']]]*$L$36,"-")</calculatedColumnFormula>
    </tableColumn>
    <tableColumn id="14" xr3:uid="{5598815F-5430-47AE-94EB-8F4C4C514EF8}" name="Kosten [€]" totalsRowFunction="sum" dataDxfId="62" totalsRowDxfId="61">
      <calculatedColumnFormula>IFERROR(VLOOKUP(Meal2[[#This Row],[Zutat '[Name aus Tabelle']]],Tabelle2[],11,FALSE)*Meal2[[#This Row],[Berechnete Menge '[g']]],"")</calculatedColumnFormula>
    </tableColumn>
    <tableColumn id="9" xr3:uid="{415589DC-BB3D-4458-B984-27E71DF57A8B}" name="Kalorien [kcal]" totalsRowFunction="sum" dataDxfId="60" totalsRowDxfId="59">
      <calculatedColumnFormula>IFERROR(Meal2[[#This Row],[Berechnete Menge '[g']]]*Meal2[[#This Row],[Kaloriendichte '[kcal/g']]],"")</calculatedColumnFormula>
    </tableColumn>
    <tableColumn id="10" xr3:uid="{845C33B5-90AB-4A4B-A8BC-D2BF2CD5A5EF}" name="Proteine [g]" totalsRowFunction="sum" dataDxfId="58" totalsRowDxfId="57">
      <calculatedColumnFormula>IFERROR(Meal2[[#This Row],[Berechnete Menge '[g']]]*Meal2[[#This Row],[Proteindichte '[g/g']]],"")</calculatedColumnFormula>
    </tableColumn>
    <tableColumn id="12" xr3:uid="{FB5889C7-2F28-44B8-902D-7B01F380DC00}" name="Kaloriendichte [kcal/g]" dataDxfId="56">
      <calculatedColumnFormula>IFERROR(VLOOKUP(Meal2[[#This Row],[Zutat '[Name aus Tabelle']]],Tabelle2[],13,FALSE),"")</calculatedColumnFormula>
    </tableColumn>
    <tableColumn id="13" xr3:uid="{5A1D136B-75B6-476E-A8CB-E479BD058658}" name="Proteindichte [g/g]" dataDxfId="55">
      <calculatedColumnFormula>IFERROR(VLOOKUP(Meal2[[#This Row],[Zutat '[Name aus Tabelle']]],Tabelle2[],14,FALSE),"")</calculatedColumnFormula>
    </tableColumn>
    <tableColumn id="3" xr3:uid="{872F7F48-B8B4-47AB-ADDF-74980B61DBCF}" name="Kalorien vorher [kcal]" totalsRowFunction="sum" dataDxfId="54" totalsRowDxfId="53">
      <calculatedColumnFormula>IFERROR(Meal2[[#This Row],[Kaloriendichte '[kcal/g']]]*Meal2[[#This Row],[Menge '[g']]],0)</calculatedColumnFormula>
    </tableColumn>
    <tableColumn id="4" xr3:uid="{F94ECE06-3110-400C-A4D8-612B42CCC0B9}" name="Proteine vorher [g]" totalsRowFunction="sum" dataDxfId="52" totalsRowDxfId="51">
      <calculatedColumnFormula>IFERROR(Meal2[[#This Row],[Proteindichte '[g/g']]]*Meal2[[#This Row],[Menge '[g']]],0)</calculatedColumnFormula>
    </tableColumn>
    <tableColumn id="15" xr3:uid="{4AE5F9CC-C6E0-47D0-83E4-39FF476C23A0}" name="Massenanpassung" totalsRowFunction="custom" dataDxfId="50">
      <calculatedColumnFormula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calculatedColumnFormula>
      <totalsRowFormula array="1">INDEX(Meal2[Massenanpassung],N29)</totalsRowFormula>
    </tableColumn>
    <tableColumn id="11" xr3:uid="{EAC2DD16-DB0E-46CD-BBF5-ADF77F90BE6A}" name="Relative Abweichung" totalsRowFunction="custom" dataDxfId="49" totalsRowDxfId="48">
      <calculatedColumnFormula>IFERROR(ABS(Meal2[[#This Row],[Massenanpassung]]-Meal2[[#This Row],[Menge '[g']]])/Meal2[[#This Row],[Menge '[g']]],1000000)</calculatedColumnFormula>
      <totalsRowFormula array="1">MIN(IF(Meal2[Massenanpassung]&lt;0,"",Meal2[Relative Abweichung]))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DA7252-F48A-4E3B-BF7D-0093CDAC7032}" name="Meal3" displayName="Meal3" ref="A5:O27" totalsRowCount="1">
  <autoFilter ref="A5:O26" xr:uid="{A4DA7252-F48A-4E3B-BF7D-0093CDAC7032}"/>
  <tableColumns count="15">
    <tableColumn id="1" xr3:uid="{2C21121B-E64E-4B50-8A30-0C88F2C4F732}" name="Zutat [Name aus Tabelle]" totalsRowLabel="Ergebnis" dataDxfId="47"/>
    <tableColumn id="2" xr3:uid="{061242FF-34D0-4B24-823A-D9DD82668C62}" name="Menge [g]" dataDxfId="46"/>
    <tableColumn id="5" xr3:uid="{43583416-B5C8-458C-9A60-76225CC464BC}" name="Spalte1" dataDxfId="45"/>
    <tableColumn id="8" xr3:uid="{DEAC6E10-9FFE-447B-A449-825912C374FF}" name="Berechnete Menge [g]" dataDxfId="44">
      <calculatedColumnFormula>IF(ROW()-5=$N$29,Meal3[[#Totals],[Massenanpassung]]*$N$31,Meal3[[#This Row],[Menge '[g']]]*$N$31)</calculatedColumnFormula>
    </tableColumn>
    <tableColumn id="7" xr3:uid="{C01DC107-DA81-41FC-B56D-EE19C15814C2}" name="Gesamtmenge [g]" dataDxfId="43">
      <calculatedColumnFormula>Meal3[[#This Row],[Berechnete Menge '[g']]]*Input!$B$7</calculatedColumnFormula>
    </tableColumn>
    <tableColumn id="6" xr3:uid="{33F93172-8EA0-40BB-9D7C-60EB8DC2EB10}" name="Skal. Gesamtmenge [g]" dataDxfId="42">
      <calculatedColumnFormula>IFERROR(Meal3[[#This Row],[Gesamtmenge '[g']]]*$L$36,"-")</calculatedColumnFormula>
    </tableColumn>
    <tableColumn id="14" xr3:uid="{923D86B8-A390-49B5-8FBD-77672DA2D803}" name="Kosten [€]" totalsRowFunction="sum" dataDxfId="41" totalsRowDxfId="40">
      <calculatedColumnFormula>IFERROR(VLOOKUP(Meal3[[#This Row],[Zutat '[Name aus Tabelle']]],Tabelle2[],11,FALSE)*Meal3[[#This Row],[Berechnete Menge '[g']]],"")</calculatedColumnFormula>
    </tableColumn>
    <tableColumn id="9" xr3:uid="{D1907CE2-F035-4FCC-87AE-8BAAA8487448}" name="Kalorien [kcal]" totalsRowFunction="sum" dataDxfId="39" totalsRowDxfId="38">
      <calculatedColumnFormula>IFERROR(Meal3[[#This Row],[Berechnete Menge '[g']]]*Meal3[[#This Row],[Kaloriendichte '[kcal/g']]],"")</calculatedColumnFormula>
    </tableColumn>
    <tableColumn id="10" xr3:uid="{6C7D5199-C5E2-4554-A1EA-8106C1E679EE}" name="Proteine [g]" totalsRowFunction="sum" dataDxfId="37" totalsRowDxfId="36">
      <calculatedColumnFormula>IFERROR(Meal3[[#This Row],[Berechnete Menge '[g']]]*Meal3[[#This Row],[Proteindichte '[g/g']]],"")</calculatedColumnFormula>
    </tableColumn>
    <tableColumn id="12" xr3:uid="{EE0C6C3A-13F4-4634-A681-D571AB7175F3}" name="Kaloriendichte [kcal/g]" dataDxfId="35">
      <calculatedColumnFormula>IFERROR(VLOOKUP(Meal3[[#This Row],[Zutat '[Name aus Tabelle']]],Tabelle2[],13,FALSE),"")</calculatedColumnFormula>
    </tableColumn>
    <tableColumn id="13" xr3:uid="{0177564E-AFB6-4EBC-8E9C-E361CAA4C8A0}" name="Proteindichte [g/g]" dataDxfId="34">
      <calculatedColumnFormula>IFERROR(VLOOKUP(Meal3[[#This Row],[Zutat '[Name aus Tabelle']]],Tabelle2[],14,FALSE),"")</calculatedColumnFormula>
    </tableColumn>
    <tableColumn id="3" xr3:uid="{0F2F6387-5324-455D-AF7E-680349F34B24}" name="Kalorien vorher [kcal]" totalsRowFunction="sum" dataDxfId="33" totalsRowDxfId="32">
      <calculatedColumnFormula>IFERROR(Meal3[[#This Row],[Kaloriendichte '[kcal/g']]]*Meal3[[#This Row],[Menge '[g']]],0)</calculatedColumnFormula>
    </tableColumn>
    <tableColumn id="4" xr3:uid="{002437A8-FA13-4D15-81C7-5A537635F1D7}" name="Proteine vorher [g]" totalsRowFunction="sum" dataDxfId="31" totalsRowDxfId="30">
      <calculatedColumnFormula>IFERROR(Meal3[[#This Row],[Proteindichte '[g/g']]]*Meal3[[#This Row],[Menge '[g']]],0)</calculatedColumnFormula>
    </tableColumn>
    <tableColumn id="15" xr3:uid="{238B0385-8797-4392-AEF8-880C902CC9AB}" name="Massenanpassung" totalsRowFunction="custom" dataDxfId="29">
      <calculatedColumnFormula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calculatedColumnFormula>
      <totalsRowFormula array="1">INDEX(Meal3[Massenanpassung],N29)</totalsRowFormula>
    </tableColumn>
    <tableColumn id="11" xr3:uid="{800F6F1B-543C-447A-BEBA-23237634ACCB}" name="Relative Abweichung" totalsRowFunction="custom" dataDxfId="28" totalsRowDxfId="27">
      <calculatedColumnFormula>IFERROR(ABS(Meal3[[#This Row],[Massenanpassung]]-Meal3[[#This Row],[Menge '[g']]])/Meal3[[#This Row],[Menge '[g']]],1000000)</calculatedColumnFormula>
      <totalsRowFormula>_xlfn.MINIFS(Meal3[Relative Abweichung],Meal3[Massenanpassung],"&gt;0",Meal3[Spalte1],"&lt;&gt;x")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307C94-CE14-4C14-802E-394741AC02BF}" name="Meal4" displayName="Meal4" ref="A5:O27" totalsRowCount="1">
  <autoFilter ref="A5:O26" xr:uid="{9D406986-E7A3-4BA4-86A6-A21B8A2D407C}"/>
  <tableColumns count="15">
    <tableColumn id="1" xr3:uid="{A3D58D3B-A196-4B7A-B112-3AE356B0258A}" name="Zutat [Name aus Tabelle]" totalsRowLabel="Ergebnis" dataDxfId="26"/>
    <tableColumn id="2" xr3:uid="{9A788A0D-60AE-4607-8AED-193DEDAE7253}" name="Menge [g]" dataDxfId="25"/>
    <tableColumn id="5" xr3:uid="{8318E991-D9B9-4AE3-A751-7956A0BF77FA}" name="Spalte1" dataDxfId="24"/>
    <tableColumn id="8" xr3:uid="{84F631DE-DE9D-47B9-BB33-E4042F4FE6A5}" name="Berechnete Menge [g]" dataDxfId="23">
      <calculatedColumnFormula>IF(ROW()-5=$N$29,Meal4[[#Totals],[Massenanpassung]]*$N$31,Meal4[[#This Row],[Menge '[g']]]*$N$31)</calculatedColumnFormula>
    </tableColumn>
    <tableColumn id="7" xr3:uid="{95F496B8-2925-40E6-95E0-215FF9A9AFE2}" name="Gesamtmenge [g]" dataDxfId="22">
      <calculatedColumnFormula>Meal4[[#This Row],[Berechnete Menge '[g']]]*Input!$B$7</calculatedColumnFormula>
    </tableColumn>
    <tableColumn id="6" xr3:uid="{18A77275-28C7-4C5B-90D0-C3EF15739B75}" name="Skal. Gesamtmenge [g]" dataDxfId="21">
      <calculatedColumnFormula>IFERROR(Meal4[[#This Row],[Gesamtmenge '[g']]]*$L$36,"-")</calculatedColumnFormula>
    </tableColumn>
    <tableColumn id="14" xr3:uid="{2CF42BC0-A30E-4660-80C3-2F61A75490E6}" name="Kosten [€]" totalsRowFunction="sum" dataDxfId="20" totalsRowDxfId="19">
      <calculatedColumnFormula>IFERROR(VLOOKUP(Meal4[[#This Row],[Zutat '[Name aus Tabelle']]],Tabelle2[],11,FALSE)*Meal4[[#This Row],[Berechnete Menge '[g']]],"")</calculatedColumnFormula>
    </tableColumn>
    <tableColumn id="9" xr3:uid="{E9D01104-913E-47A9-B601-BFD7EC8FB679}" name="Kalorien [kcal]" totalsRowFunction="sum" dataDxfId="18" totalsRowDxfId="17">
      <calculatedColumnFormula>IFERROR(Meal4[[#This Row],[Berechnete Menge '[g']]]*Meal4[[#This Row],[Kaloriendichte '[kcal/g']]],"")</calculatedColumnFormula>
    </tableColumn>
    <tableColumn id="10" xr3:uid="{5885C2B8-81F0-46DA-BBEF-3FE8E74D830F}" name="Proteine [g]" totalsRowFunction="sum" dataDxfId="16" totalsRowDxfId="15">
      <calculatedColumnFormula>IFERROR(Meal4[[#This Row],[Berechnete Menge '[g']]]*Meal4[[#This Row],[Proteindichte '[g/g']]],"")</calculatedColumnFormula>
    </tableColumn>
    <tableColumn id="12" xr3:uid="{8D00E95B-4C40-43B0-A74D-256096BE44C0}" name="Kaloriendichte [kcal/g]" dataDxfId="14">
      <calculatedColumnFormula>IFERROR(VLOOKUP(Meal4[[#This Row],[Zutat '[Name aus Tabelle']]],Tabelle2[],13,FALSE),"")</calculatedColumnFormula>
    </tableColumn>
    <tableColumn id="13" xr3:uid="{D22C66EB-2A92-48AF-B71B-8499173FD39C}" name="Proteindichte [g/g]" dataDxfId="13">
      <calculatedColumnFormula>IFERROR(VLOOKUP(Meal4[[#This Row],[Zutat '[Name aus Tabelle']]],Tabelle2[],14,FALSE),"")</calculatedColumnFormula>
    </tableColumn>
    <tableColumn id="3" xr3:uid="{FA06D39F-6A24-46DB-941D-579140AE3ED6}" name="Kalorien vorher [kcal]" totalsRowFunction="sum" dataDxfId="12" totalsRowDxfId="11">
      <calculatedColumnFormula>IFERROR(Meal4[[#This Row],[Kaloriendichte '[kcal/g']]]*Meal4[[#This Row],[Menge '[g']]],0)</calculatedColumnFormula>
    </tableColumn>
    <tableColumn id="4" xr3:uid="{084EC749-9521-4A3D-9B4A-51942D8C6B4A}" name="Proteine vorher [g]" totalsRowFunction="sum" dataDxfId="10" totalsRowDxfId="9">
      <calculatedColumnFormula>IFERROR(Meal4[[#This Row],[Proteindichte '[g/g']]]*Meal4[[#This Row],[Menge '[g']]],0)</calculatedColumnFormula>
    </tableColumn>
    <tableColumn id="15" xr3:uid="{1344349B-8D76-4A6F-9F49-F0C55FC421FC}" name="Massenanpassung" totalsRowFunction="custom" dataDxfId="8" totalsRowDxfId="7">
      <calculatedColumnFormula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calculatedColumnFormula>
      <totalsRowFormula array="1">INDEX(Meal4[Massenanpassung],N29)</totalsRowFormula>
    </tableColumn>
    <tableColumn id="11" xr3:uid="{5ADE994F-B4D3-42C6-80BD-A47DD364FC85}" name="Relative Abweichung" totalsRowFunction="custom" dataDxfId="6" totalsRowDxfId="5">
      <calculatedColumnFormula>IFERROR(ABS(Meal4[[#This Row],[Massenanpassung]]-Meal4[[#This Row],[Menge '[g']]])/Meal4[[#This Row],[Menge '[g']]],1000000)</calculatedColumnFormula>
      <totalsRowFormula array="1">MIN(IF(Meal4[Massenanpassung]&lt;0,"",Meal4[Relative Abweichung]))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FA3FB6-93E3-4463-93E4-F34909FF42CA}" name="Tabelle2" displayName="Tabelle2" ref="A5:N204" totalsRowShown="0">
  <autoFilter ref="A5:N204" xr:uid="{1EFA3FB6-93E3-4463-93E4-F34909FF42CA}"/>
  <sortState xmlns:xlrd2="http://schemas.microsoft.com/office/spreadsheetml/2017/richdata2" ref="A6:N204">
    <sortCondition ref="K5:K204"/>
  </sortState>
  <tableColumns count="14">
    <tableColumn id="2" xr3:uid="{BACD82F3-DF47-4360-90D9-02CAE7B9795C}" name="Name"/>
    <tableColumn id="14" xr3:uid="{C2759E01-D767-46E3-9A59-48BE817F6C37}" name="Marke"/>
    <tableColumn id="1" xr3:uid="{7775A886-C8D1-458A-8A77-42A77B1DC72A}" name="Supermarkt"/>
    <tableColumn id="13" xr3:uid="{65E2FD9F-1F12-422A-9983-92633553857A}" name="Typ"/>
    <tableColumn id="3" xr3:uid="{9377CD1E-2A68-4FC0-B05F-5BA2AD6E08A7}" name="Preis [€]" dataDxfId="4"/>
    <tableColumn id="4" xr3:uid="{A18F7184-49FD-4A12-A90F-1F5FA45808EA}" name="Menge [g]"/>
    <tableColumn id="5" xr3:uid="{BED3B1A8-7B4F-42F3-83B2-BA1AD1DD8978}" name="Kalorien [kcal/100g]"/>
    <tableColumn id="8" xr3:uid="{946DB00B-E110-455B-99C1-D5AC83F1F847}" name="Eiweiß [g/100g]"/>
    <tableColumn id="6" xr3:uid="{24D1E919-E05D-427E-857C-BA98D103A8E6}" name="Fett [g/100g]"/>
    <tableColumn id="7" xr3:uid="{37789C68-99F6-435C-8C69-9C91FF925525}" name="Kohlenhydrate [g/100g]"/>
    <tableColumn id="11" xr3:uid="{6D17EF5A-3FFE-411B-932A-FD5B32F333C0}" name="Kosten[€/g]" dataDxfId="3">
      <calculatedColumnFormula>IFERROR(Tabelle2[[#This Row],[Preis '[€']]]/(Tabelle2[[#This Row],[Menge '[g']]]),"")</calculatedColumnFormula>
    </tableColumn>
    <tableColumn id="10" xr3:uid="{1B703DB8-A84F-4FC9-AD4C-2CE71463AFC9}" name="Proteinpreis [€/g]" dataDxfId="2">
      <calculatedColumnFormula>IFERROR(Tabelle2[[#This Row],[Preis '[€']]]/(Tabelle2[[#This Row],[Menge '[g']]]*Tabelle2[[#This Row],[Eiweiß '[g/100g']]]/100),"")</calculatedColumnFormula>
    </tableColumn>
    <tableColumn id="9" xr3:uid="{11645D50-13E8-4042-8AB2-ABEA830DBAD3}" name="Kalorienmassedichte [kcal/g]" dataDxfId="1">
      <calculatedColumnFormula>IF(Tabelle2[[#This Row],[Kalorien '[kcal/100g']]]/100&lt;&gt;0,Tabelle2[[#This Row],[Kalorien '[kcal/100g']]]/100,"")</calculatedColumnFormula>
    </tableColumn>
    <tableColumn id="12" xr3:uid="{FCC6947E-34A8-4C98-9D4D-40567A03455E}" name="Proteinmassendichte [g/g]" dataDxfId="0">
      <calculatedColumnFormula>IF(Tabelle2[[#This Row],[Eiweiß '[g/100g']]]/100&lt;&gt;0,Tabelle2[[#This Row],[Eiweiß '[g/100g']]]/100,"")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E43F-E15D-49FF-BC39-67CEA3194BC7}">
  <dimension ref="A1:B7"/>
  <sheetViews>
    <sheetView workbookViewId="0">
      <selection activeCell="B7" sqref="B7"/>
    </sheetView>
  </sheetViews>
  <sheetFormatPr baseColWidth="10" defaultColWidth="10.734375" defaultRowHeight="14.4" x14ac:dyDescent="0.55000000000000004"/>
  <cols>
    <col min="1" max="1" width="23.9453125" customWidth="1"/>
  </cols>
  <sheetData>
    <row r="1" spans="1:2" x14ac:dyDescent="0.55000000000000004">
      <c r="A1" s="31" t="s">
        <v>30</v>
      </c>
      <c r="B1" s="31"/>
    </row>
    <row r="2" spans="1:2" x14ac:dyDescent="0.55000000000000004">
      <c r="A2" s="31"/>
      <c r="B2" s="31"/>
    </row>
    <row r="3" spans="1:2" x14ac:dyDescent="0.55000000000000004">
      <c r="A3" s="31"/>
      <c r="B3" s="31"/>
    </row>
    <row r="4" spans="1:2" x14ac:dyDescent="0.55000000000000004">
      <c r="A4" s="14" t="s">
        <v>33</v>
      </c>
      <c r="B4" s="28">
        <v>3000</v>
      </c>
    </row>
    <row r="5" spans="1:2" x14ac:dyDescent="0.55000000000000004">
      <c r="A5" s="14" t="s">
        <v>34</v>
      </c>
      <c r="B5" s="3">
        <v>200</v>
      </c>
    </row>
    <row r="6" spans="1:2" x14ac:dyDescent="0.55000000000000004">
      <c r="A6" s="14" t="s">
        <v>35</v>
      </c>
      <c r="B6" s="28">
        <v>4</v>
      </c>
    </row>
    <row r="7" spans="1:2" x14ac:dyDescent="0.55000000000000004">
      <c r="A7" s="14" t="s">
        <v>82</v>
      </c>
      <c r="B7" s="29">
        <v>4</v>
      </c>
    </row>
  </sheetData>
  <mergeCells count="1">
    <mergeCell ref="A1:B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CD3D-40A1-4A58-8D9B-2606AFAABD0E}">
  <dimension ref="A1:P45"/>
  <sheetViews>
    <sheetView zoomScale="90" zoomScaleNormal="90" workbookViewId="0">
      <selection activeCell="K15" sqref="K15"/>
    </sheetView>
  </sheetViews>
  <sheetFormatPr baseColWidth="10" defaultColWidth="10.734375" defaultRowHeight="14.4" outlineLevelCol="1" x14ac:dyDescent="0.55000000000000004"/>
  <cols>
    <col min="1" max="1" width="23.7890625" customWidth="1"/>
    <col min="2" max="2" width="11.15625" customWidth="1"/>
    <col min="3" max="3" width="3.1015625" customWidth="1"/>
    <col min="4" max="4" width="21.1015625" customWidth="1"/>
    <col min="5" max="5" width="18" customWidth="1"/>
    <col min="6" max="6" width="21.62890625" customWidth="1"/>
    <col min="7" max="7" width="11.15625" customWidth="1"/>
    <col min="8" max="8" width="14.9453125" customWidth="1"/>
    <col min="9" max="9" width="12.7890625" customWidth="1"/>
    <col min="10" max="10" width="21.5234375" customWidth="1"/>
    <col min="11" max="11" width="18.41796875" customWidth="1"/>
    <col min="12" max="12" width="20.83984375" hidden="1" customWidth="1" outlineLevel="1"/>
    <col min="13" max="13" width="18.68359375" hidden="1" customWidth="1" outlineLevel="1"/>
    <col min="14" max="15" width="10.734375" hidden="1" customWidth="1" outlineLevel="1"/>
    <col min="16" max="16" width="10.734375" collapsed="1"/>
  </cols>
  <sheetData>
    <row r="1" spans="1:16" ht="14.5" customHeight="1" x14ac:dyDescent="0.55000000000000004">
      <c r="A1" s="34" t="s">
        <v>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6"/>
    </row>
    <row r="2" spans="1:16" ht="14.65" customHeight="1" x14ac:dyDescent="0.5500000000000000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6"/>
    </row>
    <row r="3" spans="1:16" x14ac:dyDescent="0.55000000000000004">
      <c r="A3" s="14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16">
        <f>IF(ISBLANK(B3),Input!B4/Input!B6,B3)</f>
        <v>750</v>
      </c>
      <c r="L3" s="6"/>
      <c r="M3" s="6"/>
      <c r="N3" s="6"/>
      <c r="O3" s="6"/>
      <c r="P3" s="6"/>
    </row>
    <row r="4" spans="1:16" x14ac:dyDescent="0.55000000000000004">
      <c r="A4" s="14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16">
        <f>IF(ISBLANK(B4),Input!B5/Input!B7,B4)</f>
        <v>50</v>
      </c>
      <c r="L4" s="6"/>
      <c r="M4" s="6"/>
      <c r="N4" s="6"/>
      <c r="O4" s="6"/>
      <c r="P4" s="6"/>
    </row>
    <row r="5" spans="1:16" x14ac:dyDescent="0.55000000000000004">
      <c r="A5" t="s">
        <v>16</v>
      </c>
      <c r="B5" s="3" t="s">
        <v>2</v>
      </c>
      <c r="C5" s="3" t="s">
        <v>59</v>
      </c>
      <c r="D5" t="s">
        <v>21</v>
      </c>
      <c r="E5" t="s">
        <v>81</v>
      </c>
      <c r="F5" t="s">
        <v>83</v>
      </c>
      <c r="G5" t="s">
        <v>18</v>
      </c>
      <c r="H5" t="s">
        <v>15</v>
      </c>
      <c r="I5" t="s">
        <v>17</v>
      </c>
      <c r="J5" s="3" t="s">
        <v>24</v>
      </c>
      <c r="K5" s="3" t="s">
        <v>25</v>
      </c>
      <c r="L5" s="2" t="s">
        <v>28</v>
      </c>
      <c r="M5" t="s">
        <v>27</v>
      </c>
      <c r="N5" t="s">
        <v>89</v>
      </c>
      <c r="O5" t="s">
        <v>90</v>
      </c>
      <c r="P5" s="6"/>
    </row>
    <row r="6" spans="1:16" x14ac:dyDescent="0.55000000000000004">
      <c r="A6" s="20" t="s">
        <v>57</v>
      </c>
      <c r="B6" s="26">
        <v>100</v>
      </c>
      <c r="C6" s="3"/>
      <c r="D6" s="3">
        <f>IF(ROW()-5=$N$29,Meal1[[#Totals],[Massenanpassung]]*$N$31,Meal1[[#This Row],[Menge '[g']]]*$N$31)</f>
        <v>72.528060613742312</v>
      </c>
      <c r="E6" s="3">
        <f>Meal1[[#This Row],[Berechnete Menge '[g']]]*Input!$B$7</f>
        <v>290.11224245496925</v>
      </c>
      <c r="F6" s="18">
        <f>Meal1[[#This Row],[Berechnete Menge '[g']]]*5.43</f>
        <v>393.82736913262073</v>
      </c>
      <c r="G6" s="5">
        <f>IFERROR(VLOOKUP(Meal1[[#This Row],[Zutat '[Name aus Tabelle']]],Tabelle2[],11,FALSE)*Meal1[[#This Row],[Berechnete Menge '[g']]],"")</f>
        <v>0.11459433576971285</v>
      </c>
      <c r="H6" s="3">
        <f>IFERROR(Meal1[[#This Row],[Berechnete Menge '[g']]]*Meal1[[#This Row],[Kaloriendichte '[kcal/g']]],"")</f>
        <v>269.80438548312139</v>
      </c>
      <c r="I6" s="7">
        <f>IFERROR(Meal1[[#This Row],[Berechnete Menge '[g']]]*Meal1[[#This Row],[Proteindichte '[g/g']]],"")</f>
        <v>9.7912881828552134</v>
      </c>
      <c r="J6" s="12">
        <f>IFERROR(VLOOKUP(Meal1[[#This Row],[Zutat '[Name aus Tabelle']]],Tabelle2[],13,FALSE),"")</f>
        <v>3.72</v>
      </c>
      <c r="K6" s="12">
        <f>IFERROR(VLOOKUP(Meal1[[#This Row],[Zutat '[Name aus Tabelle']]],Tabelle2[],14,FALSE),"")</f>
        <v>0.13500000000000001</v>
      </c>
      <c r="L6" s="3">
        <f>IFERROR(Meal1[[#This Row],[Kaloriendichte '[kcal/g']]]*Meal1[[#This Row],[Menge '[g']]],0)</f>
        <v>372</v>
      </c>
      <c r="M6" s="7">
        <f>IFERROR(Meal1[[#This Row],[Proteindichte '[g/g']]]*Meal1[[#This Row],[Menge '[g']]],0)</f>
        <v>13.5</v>
      </c>
      <c r="N6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-4.0707964601769993</v>
      </c>
      <c r="O6" s="7">
        <f>IFERROR(ABS(Meal1[[#This Row],[Massenanpassung]]-Meal1[[#This Row],[Menge '[g']]])/Meal1[[#This Row],[Menge '[g']]],1000000)</f>
        <v>1.0407079646017698</v>
      </c>
      <c r="P6" s="6"/>
    </row>
    <row r="7" spans="1:16" x14ac:dyDescent="0.55000000000000004">
      <c r="A7" s="21" t="s">
        <v>4</v>
      </c>
      <c r="B7" s="27">
        <v>200</v>
      </c>
      <c r="C7" s="7"/>
      <c r="D7" s="3">
        <f>IF(ROW()-5=$N$29,Meal1[[#Totals],[Massenanpassung]]*$N$31,Meal1[[#This Row],[Menge '[g']]]*$N$31)</f>
        <v>269.269226977622</v>
      </c>
      <c r="E7" s="3">
        <f>Meal1[[#This Row],[Berechnete Menge '[g']]]*Input!$B$7</f>
        <v>1077.076907910488</v>
      </c>
      <c r="F7" s="18">
        <f>Meal1[[#This Row],[Berechnete Menge '[g']]]*5.43</f>
        <v>1462.1319024884874</v>
      </c>
      <c r="G7" s="5">
        <f>IFERROR(VLOOKUP(Meal1[[#This Row],[Zutat '[Name aus Tabelle']]],Tabelle2[],11,FALSE)*Meal1[[#This Row],[Berechnete Menge '[g']]],"")</f>
        <v>0.80242229639331353</v>
      </c>
      <c r="H7" s="3">
        <f>IFERROR(Meal1[[#This Row],[Berechnete Menge '[g']]]*Meal1[[#This Row],[Kaloriendichte '[kcal/g']]],"")</f>
        <v>166.94692072612563</v>
      </c>
      <c r="I7" s="7">
        <f>IFERROR(Meal1[[#This Row],[Berechnete Menge '[g']]]*Meal1[[#This Row],[Proteindichte '[g/g']]],"")</f>
        <v>29.619614967538421</v>
      </c>
      <c r="J7" s="12">
        <f>IFERROR(VLOOKUP(Meal1[[#This Row],[Zutat '[Name aus Tabelle']]],Tabelle2[],13,FALSE),"")</f>
        <v>0.62</v>
      </c>
      <c r="K7" s="12">
        <f>IFERROR(VLOOKUP(Meal1[[#This Row],[Zutat '[Name aus Tabelle']]],Tabelle2[],14,FALSE),"")</f>
        <v>0.11</v>
      </c>
      <c r="L7" s="3">
        <f>IFERROR(Meal1[[#This Row],[Kaloriendichte '[kcal/g']]]*Meal1[[#This Row],[Menge '[g']]],0)</f>
        <v>124</v>
      </c>
      <c r="M7" s="7">
        <f>IFERROR(Meal1[[#This Row],[Proteindichte '[g/g']]]*Meal1[[#This Row],[Menge '[g']]],0)</f>
        <v>22</v>
      </c>
      <c r="N7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371.26213592233017</v>
      </c>
      <c r="O7" s="7">
        <f>IFERROR(ABS(Meal1[[#This Row],[Massenanpassung]]-Meal1[[#This Row],[Menge '[g']]])/Meal1[[#This Row],[Menge '[g']]],1000000)</f>
        <v>0.85631067961165086</v>
      </c>
      <c r="P7" s="6"/>
    </row>
    <row r="8" spans="1:16" x14ac:dyDescent="0.55000000000000004">
      <c r="A8" s="20" t="s">
        <v>71</v>
      </c>
      <c r="B8" s="26">
        <v>100</v>
      </c>
      <c r="C8" s="3"/>
      <c r="D8" s="3">
        <f>IF(ROW()-5=$N$29,Meal1[[#Totals],[Massenanpassung]]*$N$31,Meal1[[#This Row],[Menge '[g']]]*$N$31)</f>
        <v>72.528060613742312</v>
      </c>
      <c r="E8" s="3">
        <f>Meal1[[#This Row],[Berechnete Menge '[g']]]*Input!$B$7</f>
        <v>290.11224245496925</v>
      </c>
      <c r="F8" s="18">
        <f>Meal1[[#This Row],[Berechnete Menge '[g']]]*5.43</f>
        <v>393.82736913262073</v>
      </c>
      <c r="G8" s="5">
        <f>IFERROR(VLOOKUP(Meal1[[#This Row],[Zutat '[Name aus Tabelle']]],Tabelle2[],11,FALSE)*Meal1[[#This Row],[Berechnete Menge '[g']]],"")</f>
        <v>0.10806681031447604</v>
      </c>
      <c r="H8" s="3">
        <f>IFERROR(Meal1[[#This Row],[Berechnete Menge '[g']]]*Meal1[[#This Row],[Kaloriendichte '[kcal/g']]],"")</f>
        <v>37.714591519146005</v>
      </c>
      <c r="I8" s="7">
        <f>IFERROR(Meal1[[#This Row],[Berechnete Menge '[g']]]*Meal1[[#This Row],[Proteindichte '[g/g']]],"")</f>
        <v>0.21758418184122694</v>
      </c>
      <c r="J8" s="12">
        <f>IFERROR(VLOOKUP(Meal1[[#This Row],[Zutat '[Name aus Tabelle']]],Tabelle2[],13,FALSE),"")</f>
        <v>0.52</v>
      </c>
      <c r="K8" s="12">
        <f>IFERROR(VLOOKUP(Meal1[[#This Row],[Zutat '[Name aus Tabelle']]],Tabelle2[],14,FALSE),"")</f>
        <v>3.0000000000000001E-3</v>
      </c>
      <c r="L8" s="3">
        <f>IFERROR(Meal1[[#This Row],[Kaloriendichte '[kcal/g']]]*Meal1[[#This Row],[Menge '[g']]],0)</f>
        <v>52</v>
      </c>
      <c r="M8" s="7">
        <f>IFERROR(Meal1[[#This Row],[Proteindichte '[g/g']]]*Meal1[[#This Row],[Menge '[g']]],0)</f>
        <v>0.3</v>
      </c>
      <c r="N8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-271.36842105263162</v>
      </c>
      <c r="O8" s="7">
        <f>IFERROR(ABS(Meal1[[#This Row],[Massenanpassung]]-Meal1[[#This Row],[Menge '[g']]])/Meal1[[#This Row],[Menge '[g']]],1000000)</f>
        <v>3.7136842105263161</v>
      </c>
      <c r="P8" s="6"/>
    </row>
    <row r="9" spans="1:16" x14ac:dyDescent="0.55000000000000004">
      <c r="A9" s="21" t="s">
        <v>72</v>
      </c>
      <c r="B9" s="27">
        <v>200</v>
      </c>
      <c r="C9" s="3"/>
      <c r="D9" s="3">
        <f>IF(ROW()-5=$N$29,Meal1[[#Totals],[Massenanpassung]]*$N$31,Meal1[[#This Row],[Menge '[g']]]*$N$31)</f>
        <v>145.05612122748462</v>
      </c>
      <c r="E9" s="3">
        <f>Meal1[[#This Row],[Berechnete Menge '[g']]]*Input!$B$7</f>
        <v>580.2244849099385</v>
      </c>
      <c r="F9" s="18">
        <f>Meal1[[#This Row],[Berechnete Menge '[g']]]*5.43</f>
        <v>787.65473826524146</v>
      </c>
      <c r="G9" s="5">
        <f>IFERROR(VLOOKUP(Meal1[[#This Row],[Zutat '[Name aus Tabelle']]],Tabelle2[],11,FALSE)*Meal1[[#This Row],[Berechnete Menge '[g']]],"")</f>
        <v>0.15230892728885886</v>
      </c>
      <c r="H9" s="3">
        <f>IFERROR(Meal1[[#This Row],[Berechnete Menge '[g']]]*Meal1[[#This Row],[Kaloriendichte '[kcal/g']]],"")</f>
        <v>92.835917585590167</v>
      </c>
      <c r="I9" s="7">
        <f>IFERROR(Meal1[[#This Row],[Berechnete Menge '[g']]]*Meal1[[#This Row],[Proteindichte '[g/g']]],"")</f>
        <v>5.0769642429619619</v>
      </c>
      <c r="J9" s="12">
        <f>IFERROR(VLOOKUP(Meal1[[#This Row],[Zutat '[Name aus Tabelle']]],Tabelle2[],13,FALSE),"")</f>
        <v>0.64</v>
      </c>
      <c r="K9" s="12">
        <f>IFERROR(VLOOKUP(Meal1[[#This Row],[Zutat '[Name aus Tabelle']]],Tabelle2[],14,FALSE),"")</f>
        <v>3.5000000000000003E-2</v>
      </c>
      <c r="L9" s="3">
        <f>IFERROR(Meal1[[#This Row],[Kaloriendichte '[kcal/g']]]*Meal1[[#This Row],[Menge '[g']]],0)</f>
        <v>128</v>
      </c>
      <c r="M9" s="7">
        <f>IFERROR(Meal1[[#This Row],[Proteindichte '[g/g']]]*Meal1[[#This Row],[Menge '[g']]],0)</f>
        <v>7.0000000000000009</v>
      </c>
      <c r="N9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-1333.9130434782626</v>
      </c>
      <c r="O9" s="7">
        <f>IFERROR(ABS(Meal1[[#This Row],[Massenanpassung]]-Meal1[[#This Row],[Menge '[g']]])/Meal1[[#This Row],[Menge '[g']]],1000000)</f>
        <v>7.6695652173913125</v>
      </c>
      <c r="P9" s="6"/>
    </row>
    <row r="10" spans="1:16" x14ac:dyDescent="0.55000000000000004">
      <c r="A10" s="20" t="s">
        <v>73</v>
      </c>
      <c r="B10" s="26">
        <v>30</v>
      </c>
      <c r="C10" s="3"/>
      <c r="D10" s="3">
        <f>IF(ROW()-5=$N$29,Meal1[[#Totals],[Massenanpassung]]*$N$31,Meal1[[#This Row],[Menge '[g']]]*$N$31)</f>
        <v>21.758418184122693</v>
      </c>
      <c r="E10" s="3">
        <f>Meal1[[#This Row],[Berechnete Menge '[g']]]*Input!$B$7</f>
        <v>87.033672736490772</v>
      </c>
      <c r="F10" s="18">
        <f>Meal1[[#This Row],[Berechnete Menge '[g']]]*5.43</f>
        <v>118.14821073978622</v>
      </c>
      <c r="G10" s="5">
        <f>IFERROR(VLOOKUP(Meal1[[#This Row],[Zutat '[Name aus Tabelle']]],Tabelle2[],11,FALSE)*Meal1[[#This Row],[Berechnete Menge '[g']]],"")</f>
        <v>0.24913388820820484</v>
      </c>
      <c r="H10" s="3">
        <f>IFERROR(Meal1[[#This Row],[Berechnete Menge '[g']]]*Meal1[[#This Row],[Kaloriendichte '[kcal/g']]],"")</f>
        <v>134.68460855971946</v>
      </c>
      <c r="I10" s="7">
        <f>IFERROR(Meal1[[#This Row],[Berechnete Menge '[g']]]*Meal1[[#This Row],[Proteindichte '[g/g']]],"")</f>
        <v>5.2220203641894463</v>
      </c>
      <c r="J10" s="12">
        <f>IFERROR(VLOOKUP(Meal1[[#This Row],[Zutat '[Name aus Tabelle']]],Tabelle2[],13,FALSE),"")</f>
        <v>6.19</v>
      </c>
      <c r="K10" s="12">
        <f>IFERROR(VLOOKUP(Meal1[[#This Row],[Zutat '[Name aus Tabelle']]],Tabelle2[],14,FALSE),"")</f>
        <v>0.24</v>
      </c>
      <c r="L10" s="3">
        <f>IFERROR(Meal1[[#This Row],[Kaloriendichte '[kcal/g']]]*Meal1[[#This Row],[Menge '[g']]],0)</f>
        <v>185.70000000000002</v>
      </c>
      <c r="M10" s="7">
        <f>IFERROR(Meal1[[#This Row],[Proteindichte '[g/g']]]*Meal1[[#This Row],[Menge '[g']]],0)</f>
        <v>7.1999999999999993</v>
      </c>
      <c r="N10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-38.108108108108091</v>
      </c>
      <c r="O10" s="7">
        <f>IFERROR(ABS(Meal1[[#This Row],[Massenanpassung]]-Meal1[[#This Row],[Menge '[g']]])/Meal1[[#This Row],[Menge '[g']]],1000000)</f>
        <v>2.2702702702702697</v>
      </c>
      <c r="P10" s="6"/>
    </row>
    <row r="11" spans="1:16" x14ac:dyDescent="0.55000000000000004">
      <c r="A11" s="21" t="s">
        <v>85</v>
      </c>
      <c r="B11" s="27">
        <v>20</v>
      </c>
      <c r="C11" s="3"/>
      <c r="D11" s="3">
        <f>IF(ROW()-5=$N$29,Meal1[[#Totals],[Massenanpassung]]*$N$31,Meal1[[#This Row],[Menge '[g']]]*$N$31)</f>
        <v>14.505612122748461</v>
      </c>
      <c r="E11" s="3">
        <f>Meal1[[#This Row],[Berechnete Menge '[g']]]*Input!$B$7</f>
        <v>58.022448490993845</v>
      </c>
      <c r="F11" s="18">
        <f>Meal1[[#This Row],[Berechnete Menge '[g']]]*5.43</f>
        <v>78.765473826524143</v>
      </c>
      <c r="G11" s="5">
        <f>IFERROR(VLOOKUP(Meal1[[#This Row],[Zutat '[Name aus Tabelle']]],Tabelle2[],11,FALSE)*Meal1[[#This Row],[Berechnete Menge '[g']]],"")</f>
        <v>2.9011224245496924E-2</v>
      </c>
      <c r="H11" s="3">
        <f>IFERROR(Meal1[[#This Row],[Berechnete Menge '[g']]]*Meal1[[#This Row],[Kaloriendichte '[kcal/g']]],"")</f>
        <v>48.013576126297409</v>
      </c>
      <c r="I11" s="7">
        <f>IFERROR(Meal1[[#This Row],[Berechnete Menge '[g']]]*Meal1[[#This Row],[Proteindichte '[g/g']]],"")</f>
        <v>7.2528060613742312E-2</v>
      </c>
      <c r="J11" s="12">
        <f>IFERROR(VLOOKUP(Meal1[[#This Row],[Zutat '[Name aus Tabelle']]],Tabelle2[],13,FALSE),"")</f>
        <v>3.31</v>
      </c>
      <c r="K11" s="12">
        <f>IFERROR(VLOOKUP(Meal1[[#This Row],[Zutat '[Name aus Tabelle']]],Tabelle2[],14,FALSE),"")</f>
        <v>5.0000000000000001E-3</v>
      </c>
      <c r="L11" s="3">
        <f>IFERROR(Meal1[[#This Row],[Kaloriendichte '[kcal/g']]]*Meal1[[#This Row],[Menge '[g']]],0)</f>
        <v>66.2</v>
      </c>
      <c r="M11" s="7">
        <f>IFERROR(Meal1[[#This Row],[Proteindichte '[g/g']]]*Meal1[[#This Row],[Menge '[g']]],0)</f>
        <v>0.1</v>
      </c>
      <c r="N11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-34.528593508500769</v>
      </c>
      <c r="O11" s="7">
        <f>IFERROR(ABS(Meal1[[#This Row],[Massenanpassung]]-Meal1[[#This Row],[Menge '[g']]])/Meal1[[#This Row],[Menge '[g']]],1000000)</f>
        <v>2.7264296754250386</v>
      </c>
      <c r="P11" s="6"/>
    </row>
    <row r="12" spans="1:16" x14ac:dyDescent="0.55000000000000004">
      <c r="B12" s="3"/>
      <c r="C12" s="3"/>
      <c r="D12" s="3">
        <f>IF(ROW()-5=$N$29,Meal1[[#Totals],[Massenanpassung]]*$N$31,Meal1[[#This Row],[Menge '[g']]]*$N$31)</f>
        <v>0</v>
      </c>
      <c r="E12" s="3">
        <f>Meal1[[#This Row],[Berechnete Menge '[g']]]*Input!$B$7</f>
        <v>0</v>
      </c>
      <c r="F12" s="18">
        <f>Meal1[[#This Row],[Berechnete Menge '[g']]]*5.43</f>
        <v>0</v>
      </c>
      <c r="G12" s="5" t="str">
        <f>IFERROR(VLOOKUP(Meal1[[#This Row],[Zutat '[Name aus Tabelle']]],Tabelle2[],11,FALSE)*Meal1[[#This Row],[Berechnete Menge '[g']]],"")</f>
        <v/>
      </c>
      <c r="H12" s="3" t="str">
        <f>IFERROR(Meal1[[#This Row],[Berechnete Menge '[g']]]*Meal1[[#This Row],[Kaloriendichte '[kcal/g']]],"")</f>
        <v/>
      </c>
      <c r="I12" s="7" t="str">
        <f>IFERROR(Meal1[[#This Row],[Berechnete Menge '[g']]]*Meal1[[#This Row],[Proteindichte '[g/g']]],"")</f>
        <v/>
      </c>
      <c r="J12" s="12" t="str">
        <f>IFERROR(VLOOKUP(Meal1[[#This Row],[Zutat '[Name aus Tabelle']]],Tabelle2[],13,FALSE),"")</f>
        <v/>
      </c>
      <c r="K12" s="12" t="str">
        <f>IFERROR(VLOOKUP(Meal1[[#This Row],[Zutat '[Name aus Tabelle']]],Tabelle2[],14,FALSE),"")</f>
        <v/>
      </c>
      <c r="L12" s="3">
        <f>IFERROR(Meal1[[#This Row],[Kaloriendichte '[kcal/g']]]*Meal1[[#This Row],[Menge '[g']]],0)</f>
        <v>0</v>
      </c>
      <c r="M12" s="7">
        <f>IFERROR(Meal1[[#This Row],[Proteindichte '[g/g']]]*Meal1[[#This Row],[Menge '[g']]],0)</f>
        <v>0</v>
      </c>
      <c r="N12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2" s="7">
        <f>IFERROR(ABS(Meal1[[#This Row],[Massenanpassung]]-Meal1[[#This Row],[Menge '[g']]])/Meal1[[#This Row],[Menge '[g']]],1000000)</f>
        <v>1000000</v>
      </c>
      <c r="P12" s="6"/>
    </row>
    <row r="13" spans="1:16" x14ac:dyDescent="0.55000000000000004">
      <c r="B13" s="3"/>
      <c r="C13" s="3"/>
      <c r="D13" s="3">
        <f>IF(ROW()-5=$N$29,Meal1[[#Totals],[Massenanpassung]]*$N$31,Meal1[[#This Row],[Menge '[g']]]*$N$31)</f>
        <v>0</v>
      </c>
      <c r="E13" s="3">
        <f>Meal1[[#This Row],[Berechnete Menge '[g']]]*Input!$B$7</f>
        <v>0</v>
      </c>
      <c r="F13" s="18">
        <f>Meal1[[#This Row],[Berechnete Menge '[g']]]*5.43</f>
        <v>0</v>
      </c>
      <c r="G13" s="5" t="str">
        <f>IFERROR(VLOOKUP(Meal1[[#This Row],[Zutat '[Name aus Tabelle']]],Tabelle2[],11,FALSE)*Meal1[[#This Row],[Berechnete Menge '[g']]],"")</f>
        <v/>
      </c>
      <c r="H13" s="3" t="str">
        <f>IFERROR(Meal1[[#This Row],[Berechnete Menge '[g']]]*Meal1[[#This Row],[Kaloriendichte '[kcal/g']]],"")</f>
        <v/>
      </c>
      <c r="I13" s="7" t="str">
        <f>IFERROR(Meal1[[#This Row],[Berechnete Menge '[g']]]*Meal1[[#This Row],[Proteindichte '[g/g']]],"")</f>
        <v/>
      </c>
      <c r="J13" s="12" t="str">
        <f>IFERROR(VLOOKUP(Meal1[[#This Row],[Zutat '[Name aus Tabelle']]],Tabelle2[],13,FALSE),"")</f>
        <v/>
      </c>
      <c r="K13" s="12" t="str">
        <f>IFERROR(VLOOKUP(Meal1[[#This Row],[Zutat '[Name aus Tabelle']]],Tabelle2[],14,FALSE),"")</f>
        <v/>
      </c>
      <c r="L13" s="3">
        <f>IFERROR(Meal1[[#This Row],[Kaloriendichte '[kcal/g']]]*Meal1[[#This Row],[Menge '[g']]],0)</f>
        <v>0</v>
      </c>
      <c r="M13" s="7">
        <f>IFERROR(Meal1[[#This Row],[Proteindichte '[g/g']]]*Meal1[[#This Row],[Menge '[g']]],0)</f>
        <v>0</v>
      </c>
      <c r="N13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3" s="7">
        <f>IFERROR(ABS(Meal1[[#This Row],[Massenanpassung]]-Meal1[[#This Row],[Menge '[g']]])/Meal1[[#This Row],[Menge '[g']]],1000000)</f>
        <v>1000000</v>
      </c>
      <c r="P13" s="6"/>
    </row>
    <row r="14" spans="1:16" x14ac:dyDescent="0.55000000000000004">
      <c r="B14" s="3"/>
      <c r="C14" s="3"/>
      <c r="D14" s="3">
        <f>IF(ROW()-5=$N$29,Meal1[[#Totals],[Massenanpassung]]*$N$31,Meal1[[#This Row],[Menge '[g']]]*$N$31)</f>
        <v>0</v>
      </c>
      <c r="E14" s="3">
        <f>Meal1[[#This Row],[Berechnete Menge '[g']]]*Input!$B$7</f>
        <v>0</v>
      </c>
      <c r="F14" s="18">
        <f>Meal1[[#This Row],[Berechnete Menge '[g']]]*5.43</f>
        <v>0</v>
      </c>
      <c r="G14" s="5" t="str">
        <f>IFERROR(VLOOKUP(Meal1[[#This Row],[Zutat '[Name aus Tabelle']]],Tabelle2[],11,FALSE)*Meal1[[#This Row],[Berechnete Menge '[g']]],"")</f>
        <v/>
      </c>
      <c r="H14" s="3" t="str">
        <f>IFERROR(Meal1[[#This Row],[Berechnete Menge '[g']]]*Meal1[[#This Row],[Kaloriendichte '[kcal/g']]],"")</f>
        <v/>
      </c>
      <c r="I14" s="7" t="str">
        <f>IFERROR(Meal1[[#This Row],[Berechnete Menge '[g']]]*Meal1[[#This Row],[Proteindichte '[g/g']]],"")</f>
        <v/>
      </c>
      <c r="J14" s="12" t="str">
        <f>IFERROR(VLOOKUP(Meal1[[#This Row],[Zutat '[Name aus Tabelle']]],Tabelle2[],13,FALSE),"")</f>
        <v/>
      </c>
      <c r="K14" s="12" t="str">
        <f>IFERROR(VLOOKUP(Meal1[[#This Row],[Zutat '[Name aus Tabelle']]],Tabelle2[],14,FALSE),"")</f>
        <v/>
      </c>
      <c r="L14" s="3">
        <f>IFERROR(Meal1[[#This Row],[Kaloriendichte '[kcal/g']]]*Meal1[[#This Row],[Menge '[g']]],0)</f>
        <v>0</v>
      </c>
      <c r="M14" s="7">
        <f>IFERROR(Meal1[[#This Row],[Proteindichte '[g/g']]]*Meal1[[#This Row],[Menge '[g']]],0)</f>
        <v>0</v>
      </c>
      <c r="N14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4" s="7">
        <f>IFERROR(ABS(Meal1[[#This Row],[Massenanpassung]]-Meal1[[#This Row],[Menge '[g']]])/Meal1[[#This Row],[Menge '[g']]],1000000)</f>
        <v>1000000</v>
      </c>
      <c r="P14" s="6"/>
    </row>
    <row r="15" spans="1:16" x14ac:dyDescent="0.55000000000000004">
      <c r="B15" s="3"/>
      <c r="C15" s="3"/>
      <c r="D15" s="3">
        <f>IF(ROW()-5=$N$29,Meal1[[#Totals],[Massenanpassung]]*$N$31,Meal1[[#This Row],[Menge '[g']]]*$N$31)</f>
        <v>0</v>
      </c>
      <c r="E15" s="3">
        <f>Meal1[[#This Row],[Berechnete Menge '[g']]]*Input!$B$7</f>
        <v>0</v>
      </c>
      <c r="F15" s="18">
        <f>Meal1[[#This Row],[Berechnete Menge '[g']]]*5.43</f>
        <v>0</v>
      </c>
      <c r="G15" s="5" t="str">
        <f>IFERROR(VLOOKUP(Meal1[[#This Row],[Zutat '[Name aus Tabelle']]],Tabelle2[],11,FALSE)*Meal1[[#This Row],[Berechnete Menge '[g']]],"")</f>
        <v/>
      </c>
      <c r="H15" s="3" t="str">
        <f>IFERROR(Meal1[[#This Row],[Berechnete Menge '[g']]]*Meal1[[#This Row],[Kaloriendichte '[kcal/g']]],"")</f>
        <v/>
      </c>
      <c r="I15" s="7" t="str">
        <f>IFERROR(Meal1[[#This Row],[Berechnete Menge '[g']]]*Meal1[[#This Row],[Proteindichte '[g/g']]],"")</f>
        <v/>
      </c>
      <c r="J15" s="12" t="str">
        <f>IFERROR(VLOOKUP(Meal1[[#This Row],[Zutat '[Name aus Tabelle']]],Tabelle2[],13,FALSE),"")</f>
        <v/>
      </c>
      <c r="K15" s="12" t="str">
        <f>IFERROR(VLOOKUP(Meal1[[#This Row],[Zutat '[Name aus Tabelle']]],Tabelle2[],14,FALSE),"")</f>
        <v/>
      </c>
      <c r="L15" s="3">
        <f>IFERROR(Meal1[[#This Row],[Kaloriendichte '[kcal/g']]]*Meal1[[#This Row],[Menge '[g']]],0)</f>
        <v>0</v>
      </c>
      <c r="M15" s="7">
        <f>IFERROR(Meal1[[#This Row],[Proteindichte '[g/g']]]*Meal1[[#This Row],[Menge '[g']]],0)</f>
        <v>0</v>
      </c>
      <c r="N15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5" s="7">
        <f>IFERROR(ABS(Meal1[[#This Row],[Massenanpassung]]-Meal1[[#This Row],[Menge '[g']]])/Meal1[[#This Row],[Menge '[g']]],1000000)</f>
        <v>1000000</v>
      </c>
      <c r="P15" s="6"/>
    </row>
    <row r="16" spans="1:16" x14ac:dyDescent="0.55000000000000004">
      <c r="B16" s="3"/>
      <c r="C16" s="3"/>
      <c r="D16" s="3">
        <f>IF(ROW()-5=$N$29,Meal1[[#Totals],[Massenanpassung]]*$N$31,Meal1[[#This Row],[Menge '[g']]]*$N$31)</f>
        <v>0</v>
      </c>
      <c r="E16" s="3">
        <f>Meal1[[#This Row],[Berechnete Menge '[g']]]*Input!$B$7</f>
        <v>0</v>
      </c>
      <c r="F16" s="18">
        <f>Meal1[[#This Row],[Berechnete Menge '[g']]]*5.43</f>
        <v>0</v>
      </c>
      <c r="G16" s="5" t="str">
        <f>IFERROR(VLOOKUP(Meal1[[#This Row],[Zutat '[Name aus Tabelle']]],Tabelle2[],11,FALSE)*Meal1[[#This Row],[Berechnete Menge '[g']]],"")</f>
        <v/>
      </c>
      <c r="H16" s="3" t="str">
        <f>IFERROR(Meal1[[#This Row],[Berechnete Menge '[g']]]*Meal1[[#This Row],[Kaloriendichte '[kcal/g']]],"")</f>
        <v/>
      </c>
      <c r="I16" s="7" t="str">
        <f>IFERROR(Meal1[[#This Row],[Berechnete Menge '[g']]]*Meal1[[#This Row],[Proteindichte '[g/g']]],"")</f>
        <v/>
      </c>
      <c r="J16" s="12" t="str">
        <f>IFERROR(VLOOKUP(Meal1[[#This Row],[Zutat '[Name aus Tabelle']]],Tabelle2[],13,FALSE),"")</f>
        <v/>
      </c>
      <c r="K16" s="12" t="str">
        <f>IFERROR(VLOOKUP(Meal1[[#This Row],[Zutat '[Name aus Tabelle']]],Tabelle2[],14,FALSE),"")</f>
        <v/>
      </c>
      <c r="L16" s="3">
        <f>IFERROR(Meal1[[#This Row],[Kaloriendichte '[kcal/g']]]*Meal1[[#This Row],[Menge '[g']]],0)</f>
        <v>0</v>
      </c>
      <c r="M16" s="7">
        <f>IFERROR(Meal1[[#This Row],[Proteindichte '[g/g']]]*Meal1[[#This Row],[Menge '[g']]],0)</f>
        <v>0</v>
      </c>
      <c r="N16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6" s="7">
        <f>IFERROR(ABS(Meal1[[#This Row],[Massenanpassung]]-Meal1[[#This Row],[Menge '[g']]])/Meal1[[#This Row],[Menge '[g']]],1000000)</f>
        <v>1000000</v>
      </c>
      <c r="P16" s="6"/>
    </row>
    <row r="17" spans="1:16" x14ac:dyDescent="0.55000000000000004">
      <c r="B17" s="3"/>
      <c r="C17" s="3"/>
      <c r="D17" s="3">
        <f>IF(ROW()-5=$N$29,Meal1[[#Totals],[Massenanpassung]]*$N$31,Meal1[[#This Row],[Menge '[g']]]*$N$31)</f>
        <v>0</v>
      </c>
      <c r="E17" s="3">
        <f>Meal1[[#This Row],[Berechnete Menge '[g']]]*Input!$B$7</f>
        <v>0</v>
      </c>
      <c r="F17" s="18">
        <f>Meal1[[#This Row],[Berechnete Menge '[g']]]*5.43</f>
        <v>0</v>
      </c>
      <c r="G17" s="5" t="str">
        <f>IFERROR(VLOOKUP(Meal1[[#This Row],[Zutat '[Name aus Tabelle']]],Tabelle2[],11,FALSE)*Meal1[[#This Row],[Berechnete Menge '[g']]],"")</f>
        <v/>
      </c>
      <c r="H17" s="3" t="str">
        <f>IFERROR(Meal1[[#This Row],[Berechnete Menge '[g']]]*Meal1[[#This Row],[Kaloriendichte '[kcal/g']]],"")</f>
        <v/>
      </c>
      <c r="I17" s="7" t="str">
        <f>IFERROR(Meal1[[#This Row],[Berechnete Menge '[g']]]*Meal1[[#This Row],[Proteindichte '[g/g']]],"")</f>
        <v/>
      </c>
      <c r="J17" s="12" t="str">
        <f>IFERROR(VLOOKUP(Meal1[[#This Row],[Zutat '[Name aus Tabelle']]],Tabelle2[],13,FALSE),"")</f>
        <v/>
      </c>
      <c r="K17" s="12" t="str">
        <f>IFERROR(VLOOKUP(Meal1[[#This Row],[Zutat '[Name aus Tabelle']]],Tabelle2[],14,FALSE),"")</f>
        <v/>
      </c>
      <c r="L17" s="3">
        <f>IFERROR(Meal1[[#This Row],[Kaloriendichte '[kcal/g']]]*Meal1[[#This Row],[Menge '[g']]],0)</f>
        <v>0</v>
      </c>
      <c r="M17" s="7">
        <f>IFERROR(Meal1[[#This Row],[Proteindichte '[g/g']]]*Meal1[[#This Row],[Menge '[g']]],0)</f>
        <v>0</v>
      </c>
      <c r="N17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7" s="7">
        <f>IFERROR(ABS(Meal1[[#This Row],[Massenanpassung]]-Meal1[[#This Row],[Menge '[g']]])/Meal1[[#This Row],[Menge '[g']]],1000000)</f>
        <v>1000000</v>
      </c>
      <c r="P17" s="6"/>
    </row>
    <row r="18" spans="1:16" x14ac:dyDescent="0.55000000000000004">
      <c r="B18" s="3"/>
      <c r="C18" s="3"/>
      <c r="D18" s="3">
        <f>IF(ROW()-5=$N$29,Meal1[[#Totals],[Massenanpassung]]*$N$31,Meal1[[#This Row],[Menge '[g']]]*$N$31)</f>
        <v>0</v>
      </c>
      <c r="E18" s="3">
        <f>Meal1[[#This Row],[Berechnete Menge '[g']]]*Input!$B$7</f>
        <v>0</v>
      </c>
      <c r="F18" s="18">
        <f>Meal1[[#This Row],[Berechnete Menge '[g']]]*5.43</f>
        <v>0</v>
      </c>
      <c r="G18" s="5" t="str">
        <f>IFERROR(VLOOKUP(Meal1[[#This Row],[Zutat '[Name aus Tabelle']]],Tabelle2[],11,FALSE)*Meal1[[#This Row],[Berechnete Menge '[g']]],"")</f>
        <v/>
      </c>
      <c r="H18" s="3" t="str">
        <f>IFERROR(Meal1[[#This Row],[Berechnete Menge '[g']]]*Meal1[[#This Row],[Kaloriendichte '[kcal/g']]],"")</f>
        <v/>
      </c>
      <c r="I18" s="7" t="str">
        <f>IFERROR(Meal1[[#This Row],[Berechnete Menge '[g']]]*Meal1[[#This Row],[Proteindichte '[g/g']]],"")</f>
        <v/>
      </c>
      <c r="J18" s="12" t="str">
        <f>IFERROR(VLOOKUP(Meal1[[#This Row],[Zutat '[Name aus Tabelle']]],Tabelle2[],13,FALSE),"")</f>
        <v/>
      </c>
      <c r="K18" s="12" t="str">
        <f>IFERROR(VLOOKUP(Meal1[[#This Row],[Zutat '[Name aus Tabelle']]],Tabelle2[],14,FALSE),"")</f>
        <v/>
      </c>
      <c r="L18" s="3">
        <f>IFERROR(Meal1[[#This Row],[Kaloriendichte '[kcal/g']]]*Meal1[[#This Row],[Menge '[g']]],0)</f>
        <v>0</v>
      </c>
      <c r="M18" s="7">
        <f>IFERROR(Meal1[[#This Row],[Proteindichte '[g/g']]]*Meal1[[#This Row],[Menge '[g']]],0)</f>
        <v>0</v>
      </c>
      <c r="N18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8" s="7">
        <f>IFERROR(ABS(Meal1[[#This Row],[Massenanpassung]]-Meal1[[#This Row],[Menge '[g']]])/Meal1[[#This Row],[Menge '[g']]],1000000)</f>
        <v>1000000</v>
      </c>
      <c r="P18" s="6"/>
    </row>
    <row r="19" spans="1:16" x14ac:dyDescent="0.55000000000000004">
      <c r="B19" s="3"/>
      <c r="C19" s="3"/>
      <c r="D19" s="3">
        <f>IF(ROW()-5=$N$29,Meal1[[#Totals],[Massenanpassung]]*$N$31,Meal1[[#This Row],[Menge '[g']]]*$N$31)</f>
        <v>0</v>
      </c>
      <c r="E19" s="3">
        <f>Meal1[[#This Row],[Berechnete Menge '[g']]]*Input!$B$7</f>
        <v>0</v>
      </c>
      <c r="F19" s="18">
        <f>Meal1[[#This Row],[Berechnete Menge '[g']]]*5.43</f>
        <v>0</v>
      </c>
      <c r="G19" s="5" t="str">
        <f>IFERROR(VLOOKUP(Meal1[[#This Row],[Zutat '[Name aus Tabelle']]],Tabelle2[],11,FALSE)*Meal1[[#This Row],[Berechnete Menge '[g']]],"")</f>
        <v/>
      </c>
      <c r="H19" s="3" t="str">
        <f>IFERROR(Meal1[[#This Row],[Berechnete Menge '[g']]]*Meal1[[#This Row],[Kaloriendichte '[kcal/g']]],"")</f>
        <v/>
      </c>
      <c r="I19" s="7" t="str">
        <f>IFERROR(Meal1[[#This Row],[Berechnete Menge '[g']]]*Meal1[[#This Row],[Proteindichte '[g/g']]],"")</f>
        <v/>
      </c>
      <c r="J19" s="12" t="str">
        <f>IFERROR(VLOOKUP(Meal1[[#This Row],[Zutat '[Name aus Tabelle']]],Tabelle2[],13,FALSE),"")</f>
        <v/>
      </c>
      <c r="K19" s="12" t="str">
        <f>IFERROR(VLOOKUP(Meal1[[#This Row],[Zutat '[Name aus Tabelle']]],Tabelle2[],14,FALSE),"")</f>
        <v/>
      </c>
      <c r="L19" s="3">
        <f>IFERROR(Meal1[[#This Row],[Kaloriendichte '[kcal/g']]]*Meal1[[#This Row],[Menge '[g']]],0)</f>
        <v>0</v>
      </c>
      <c r="M19" s="7">
        <f>IFERROR(Meal1[[#This Row],[Proteindichte '[g/g']]]*Meal1[[#This Row],[Menge '[g']]],0)</f>
        <v>0</v>
      </c>
      <c r="N19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19" s="7">
        <f>IFERROR(ABS(Meal1[[#This Row],[Massenanpassung]]-Meal1[[#This Row],[Menge '[g']]])/Meal1[[#This Row],[Menge '[g']]],1000000)</f>
        <v>1000000</v>
      </c>
      <c r="P19" s="6"/>
    </row>
    <row r="20" spans="1:16" x14ac:dyDescent="0.55000000000000004">
      <c r="B20" s="3"/>
      <c r="C20" s="3"/>
      <c r="D20" s="3">
        <f>IF(ROW()-5=$N$29,Meal1[[#Totals],[Massenanpassung]]*$N$31,Meal1[[#This Row],[Menge '[g']]]*$N$31)</f>
        <v>0</v>
      </c>
      <c r="E20" s="3">
        <f>Meal1[[#This Row],[Berechnete Menge '[g']]]*Input!$B$7</f>
        <v>0</v>
      </c>
      <c r="F20" s="18">
        <f>Meal1[[#This Row],[Berechnete Menge '[g']]]*5.43</f>
        <v>0</v>
      </c>
      <c r="G20" s="5" t="str">
        <f>IFERROR(VLOOKUP(Meal1[[#This Row],[Zutat '[Name aus Tabelle']]],Tabelle2[],11,FALSE)*Meal1[[#This Row],[Berechnete Menge '[g']]],"")</f>
        <v/>
      </c>
      <c r="H20" s="3" t="str">
        <f>IFERROR(Meal1[[#This Row],[Berechnete Menge '[g']]]*Meal1[[#This Row],[Kaloriendichte '[kcal/g']]],"")</f>
        <v/>
      </c>
      <c r="I20" s="7" t="str">
        <f>IFERROR(Meal1[[#This Row],[Berechnete Menge '[g']]]*Meal1[[#This Row],[Proteindichte '[g/g']]],"")</f>
        <v/>
      </c>
      <c r="J20" s="12" t="str">
        <f>IFERROR(VLOOKUP(Meal1[[#This Row],[Zutat '[Name aus Tabelle']]],Tabelle2[],13,FALSE),"")</f>
        <v/>
      </c>
      <c r="K20" s="12" t="str">
        <f>IFERROR(VLOOKUP(Meal1[[#This Row],[Zutat '[Name aus Tabelle']]],Tabelle2[],14,FALSE),"")</f>
        <v/>
      </c>
      <c r="L20" s="3">
        <f>IFERROR(Meal1[[#This Row],[Kaloriendichte '[kcal/g']]]*Meal1[[#This Row],[Menge '[g']]],0)</f>
        <v>0</v>
      </c>
      <c r="M20" s="7">
        <f>IFERROR(Meal1[[#This Row],[Proteindichte '[g/g']]]*Meal1[[#This Row],[Menge '[g']]],0)</f>
        <v>0</v>
      </c>
      <c r="N20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0" s="7">
        <f>IFERROR(ABS(Meal1[[#This Row],[Massenanpassung]]-Meal1[[#This Row],[Menge '[g']]])/Meal1[[#This Row],[Menge '[g']]],1000000)</f>
        <v>1000000</v>
      </c>
      <c r="P20" s="6"/>
    </row>
    <row r="21" spans="1:16" x14ac:dyDescent="0.55000000000000004">
      <c r="B21" s="3"/>
      <c r="C21" s="3"/>
      <c r="D21" s="3">
        <f>IF(ROW()-5=$N$29,Meal1[[#Totals],[Massenanpassung]]*$N$31,Meal1[[#This Row],[Menge '[g']]]*$N$31)</f>
        <v>0</v>
      </c>
      <c r="E21" s="3">
        <f>Meal1[[#This Row],[Berechnete Menge '[g']]]*Input!$B$7</f>
        <v>0</v>
      </c>
      <c r="F21" s="18">
        <f>Meal1[[#This Row],[Berechnete Menge '[g']]]*5.43</f>
        <v>0</v>
      </c>
      <c r="G21" s="5" t="str">
        <f>IFERROR(VLOOKUP(Meal1[[#This Row],[Zutat '[Name aus Tabelle']]],Tabelle2[],11,FALSE)*Meal1[[#This Row],[Berechnete Menge '[g']]],"")</f>
        <v/>
      </c>
      <c r="H21" s="3" t="str">
        <f>IFERROR(Meal1[[#This Row],[Berechnete Menge '[g']]]*Meal1[[#This Row],[Kaloriendichte '[kcal/g']]],"")</f>
        <v/>
      </c>
      <c r="I21" s="7" t="str">
        <f>IFERROR(Meal1[[#This Row],[Berechnete Menge '[g']]]*Meal1[[#This Row],[Proteindichte '[g/g']]],"")</f>
        <v/>
      </c>
      <c r="J21" s="12" t="str">
        <f>IFERROR(VLOOKUP(Meal1[[#This Row],[Zutat '[Name aus Tabelle']]],Tabelle2[],13,FALSE),"")</f>
        <v/>
      </c>
      <c r="K21" s="12" t="str">
        <f>IFERROR(VLOOKUP(Meal1[[#This Row],[Zutat '[Name aus Tabelle']]],Tabelle2[],14,FALSE),"")</f>
        <v/>
      </c>
      <c r="L21" s="3">
        <f>IFERROR(Meal1[[#This Row],[Kaloriendichte '[kcal/g']]]*Meal1[[#This Row],[Menge '[g']]],0)</f>
        <v>0</v>
      </c>
      <c r="M21" s="7">
        <f>IFERROR(Meal1[[#This Row],[Proteindichte '[g/g']]]*Meal1[[#This Row],[Menge '[g']]],0)</f>
        <v>0</v>
      </c>
      <c r="N21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1" s="7">
        <f>IFERROR(ABS(Meal1[[#This Row],[Massenanpassung]]-Meal1[[#This Row],[Menge '[g']]])/Meal1[[#This Row],[Menge '[g']]],1000000)</f>
        <v>1000000</v>
      </c>
      <c r="P21" s="6"/>
    </row>
    <row r="22" spans="1:16" x14ac:dyDescent="0.55000000000000004">
      <c r="B22" s="4"/>
      <c r="C22" s="4"/>
      <c r="D22" s="4">
        <f>IF(ROW()-5=$N$29,Meal1[[#Totals],[Massenanpassung]]*$N$31,Meal1[[#This Row],[Menge '[g']]]*$N$31)</f>
        <v>0</v>
      </c>
      <c r="E22" s="4">
        <f>Meal1[[#This Row],[Berechnete Menge '[g']]]*Input!$B$7</f>
        <v>0</v>
      </c>
      <c r="F22" s="19">
        <f>Meal1[[#This Row],[Berechnete Menge '[g']]]*5.43</f>
        <v>0</v>
      </c>
      <c r="G22" s="9" t="str">
        <f>IFERROR(VLOOKUP(Meal1[[#This Row],[Zutat '[Name aus Tabelle']]],Tabelle2[],11,FALSE)*Meal1[[#This Row],[Berechnete Menge '[g']]],"")</f>
        <v/>
      </c>
      <c r="H22" s="4" t="str">
        <f>IFERROR(Meal1[[#This Row],[Berechnete Menge '[g']]]*Meal1[[#This Row],[Kaloriendichte '[kcal/g']]],"")</f>
        <v/>
      </c>
      <c r="I22" s="7" t="str">
        <f>IFERROR(Meal1[[#This Row],[Berechnete Menge '[g']]]*Meal1[[#This Row],[Proteindichte '[g/g']]],"")</f>
        <v/>
      </c>
      <c r="J22" s="12" t="str">
        <f>IFERROR(VLOOKUP(Meal1[[#This Row],[Zutat '[Name aus Tabelle']]],Tabelle2[],13,FALSE),"")</f>
        <v/>
      </c>
      <c r="K22" s="12" t="str">
        <f>IFERROR(VLOOKUP(Meal1[[#This Row],[Zutat '[Name aus Tabelle']]],Tabelle2[],14,FALSE),"")</f>
        <v/>
      </c>
      <c r="L22" s="4">
        <f>IFERROR(Meal1[[#This Row],[Kaloriendichte '[kcal/g']]]*Meal1[[#This Row],[Menge '[g']]],0)</f>
        <v>0</v>
      </c>
      <c r="M22" s="8">
        <f>IFERROR(Meal1[[#This Row],[Proteindichte '[g/g']]]*Meal1[[#This Row],[Menge '[g']]],0)</f>
        <v>0</v>
      </c>
      <c r="N22" s="8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2" s="8">
        <f>IFERROR(ABS(Meal1[[#This Row],[Massenanpassung]]-Meal1[[#This Row],[Menge '[g']]])/Meal1[[#This Row],[Menge '[g']]],1000000)</f>
        <v>1000000</v>
      </c>
      <c r="P22" s="6"/>
    </row>
    <row r="23" spans="1:16" x14ac:dyDescent="0.55000000000000004">
      <c r="B23" s="3"/>
      <c r="C23" s="3"/>
      <c r="D23" s="3">
        <f>IF(ROW()-5=$N$29,Meal1[[#Totals],[Massenanpassung]]*$N$31,Meal1[[#This Row],[Menge '[g']]]*$N$31)</f>
        <v>0</v>
      </c>
      <c r="E23" s="3">
        <f>Meal1[[#This Row],[Berechnete Menge '[g']]]*Input!$B$7</f>
        <v>0</v>
      </c>
      <c r="F23" s="18">
        <f>Meal1[[#This Row],[Berechnete Menge '[g']]]*5.43</f>
        <v>0</v>
      </c>
      <c r="G23" s="5" t="str">
        <f>IFERROR(VLOOKUP(Meal1[[#This Row],[Zutat '[Name aus Tabelle']]],Tabelle2[],11,FALSE)*Meal1[[#This Row],[Berechnete Menge '[g']]],"")</f>
        <v/>
      </c>
      <c r="H23" s="3" t="str">
        <f>IFERROR(Meal1[[#This Row],[Berechnete Menge '[g']]]*Meal1[[#This Row],[Kaloriendichte '[kcal/g']]],"")</f>
        <v/>
      </c>
      <c r="I23" s="7" t="str">
        <f>IFERROR(Meal1[[#This Row],[Berechnete Menge '[g']]]*Meal1[[#This Row],[Proteindichte '[g/g']]],"")</f>
        <v/>
      </c>
      <c r="J23" s="12" t="str">
        <f>IFERROR(VLOOKUP(Meal1[[#This Row],[Zutat '[Name aus Tabelle']]],Tabelle2[],13,FALSE),"")</f>
        <v/>
      </c>
      <c r="K23" s="12" t="str">
        <f>IFERROR(VLOOKUP(Meal1[[#This Row],[Zutat '[Name aus Tabelle']]],Tabelle2[],14,FALSE),"")</f>
        <v/>
      </c>
      <c r="L23" s="3">
        <f>IFERROR(Meal1[[#This Row],[Kaloriendichte '[kcal/g']]]*Meal1[[#This Row],[Menge '[g']]],0)</f>
        <v>0</v>
      </c>
      <c r="M23" s="7">
        <f>IFERROR(Meal1[[#This Row],[Proteindichte '[g/g']]]*Meal1[[#This Row],[Menge '[g']]],0)</f>
        <v>0</v>
      </c>
      <c r="N23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3" s="7">
        <f>IFERROR(ABS(Meal1[[#This Row],[Massenanpassung]]-Meal1[[#This Row],[Menge '[g']]])/Meal1[[#This Row],[Menge '[g']]],1000000)</f>
        <v>1000000</v>
      </c>
      <c r="P23" s="6"/>
    </row>
    <row r="24" spans="1:16" x14ac:dyDescent="0.55000000000000004">
      <c r="B24" s="3"/>
      <c r="C24" s="3"/>
      <c r="D24" s="3">
        <f>IF(ROW()-5=$N$29,Meal1[[#Totals],[Massenanpassung]]*$N$31,Meal1[[#This Row],[Menge '[g']]]*$N$31)</f>
        <v>0</v>
      </c>
      <c r="E24" s="3">
        <f>Meal1[[#This Row],[Berechnete Menge '[g']]]*Input!$B$7</f>
        <v>0</v>
      </c>
      <c r="F24" s="18">
        <f>Meal1[[#This Row],[Berechnete Menge '[g']]]*5.43</f>
        <v>0</v>
      </c>
      <c r="G24" s="5" t="str">
        <f>IFERROR(VLOOKUP(Meal1[[#This Row],[Zutat '[Name aus Tabelle']]],Tabelle2[],11,FALSE)*Meal1[[#This Row],[Berechnete Menge '[g']]],"")</f>
        <v/>
      </c>
      <c r="H24" s="3" t="str">
        <f>IFERROR(Meal1[[#This Row],[Berechnete Menge '[g']]]*Meal1[[#This Row],[Kaloriendichte '[kcal/g']]],"")</f>
        <v/>
      </c>
      <c r="I24" s="7" t="str">
        <f>IFERROR(Meal1[[#This Row],[Berechnete Menge '[g']]]*Meal1[[#This Row],[Proteindichte '[g/g']]],"")</f>
        <v/>
      </c>
      <c r="J24" s="12" t="str">
        <f>IFERROR(VLOOKUP(Meal1[[#This Row],[Zutat '[Name aus Tabelle']]],Tabelle2[],13,FALSE),"")</f>
        <v/>
      </c>
      <c r="K24" s="12" t="str">
        <f>IFERROR(VLOOKUP(Meal1[[#This Row],[Zutat '[Name aus Tabelle']]],Tabelle2[],14,FALSE),"")</f>
        <v/>
      </c>
      <c r="L24" s="3">
        <f>IFERROR(Meal1[[#This Row],[Kaloriendichte '[kcal/g']]]*Meal1[[#This Row],[Menge '[g']]],0)</f>
        <v>0</v>
      </c>
      <c r="M24" s="7">
        <f>IFERROR(Meal1[[#This Row],[Proteindichte '[g/g']]]*Meal1[[#This Row],[Menge '[g']]],0)</f>
        <v>0</v>
      </c>
      <c r="N24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4" s="7">
        <f>IFERROR(ABS(Meal1[[#This Row],[Massenanpassung]]-Meal1[[#This Row],[Menge '[g']]])/Meal1[[#This Row],[Menge '[g']]],1000000)</f>
        <v>1000000</v>
      </c>
      <c r="P24" s="6"/>
    </row>
    <row r="25" spans="1:16" x14ac:dyDescent="0.55000000000000004">
      <c r="B25" s="3"/>
      <c r="C25" s="3"/>
      <c r="D25" s="3">
        <f>IF(ROW()-5=$N$29,Meal1[[#Totals],[Massenanpassung]]*$N$31,Meal1[[#This Row],[Menge '[g']]]*$N$31)</f>
        <v>0</v>
      </c>
      <c r="E25" s="3">
        <f>Meal1[[#This Row],[Berechnete Menge '[g']]]*Input!$B$7</f>
        <v>0</v>
      </c>
      <c r="F25" s="18">
        <f>Meal1[[#This Row],[Berechnete Menge '[g']]]*5.43</f>
        <v>0</v>
      </c>
      <c r="G25" s="5" t="str">
        <f>IFERROR(VLOOKUP(Meal1[[#This Row],[Zutat '[Name aus Tabelle']]],Tabelle2[],11,FALSE)*Meal1[[#This Row],[Berechnete Menge '[g']]],"")</f>
        <v/>
      </c>
      <c r="H25" s="3" t="str">
        <f>IFERROR(Meal1[[#This Row],[Berechnete Menge '[g']]]*Meal1[[#This Row],[Kaloriendichte '[kcal/g']]],"")</f>
        <v/>
      </c>
      <c r="I25" s="7" t="str">
        <f>IFERROR(Meal1[[#This Row],[Berechnete Menge '[g']]]*Meal1[[#This Row],[Proteindichte '[g/g']]],"")</f>
        <v/>
      </c>
      <c r="J25" s="12" t="str">
        <f>IFERROR(VLOOKUP(Meal1[[#This Row],[Zutat '[Name aus Tabelle']]],Tabelle2[],13,FALSE),"")</f>
        <v/>
      </c>
      <c r="K25" s="12" t="str">
        <f>IFERROR(VLOOKUP(Meal1[[#This Row],[Zutat '[Name aus Tabelle']]],Tabelle2[],14,FALSE),"")</f>
        <v/>
      </c>
      <c r="L25" s="3">
        <f>IFERROR(Meal1[[#This Row],[Kaloriendichte '[kcal/g']]]*Meal1[[#This Row],[Menge '[g']]],0)</f>
        <v>0</v>
      </c>
      <c r="M25" s="7">
        <f>IFERROR(Meal1[[#This Row],[Proteindichte '[g/g']]]*Meal1[[#This Row],[Menge '[g']]],0)</f>
        <v>0</v>
      </c>
      <c r="N25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5" s="7">
        <f>IFERROR(ABS(Meal1[[#This Row],[Massenanpassung]]-Meal1[[#This Row],[Menge '[g']]])/Meal1[[#This Row],[Menge '[g']]],1000000)</f>
        <v>1000000</v>
      </c>
      <c r="P25" s="6"/>
    </row>
    <row r="26" spans="1:16" x14ac:dyDescent="0.55000000000000004">
      <c r="B26" s="3"/>
      <c r="C26" s="3"/>
      <c r="D26" s="3">
        <f>IF(ROW()-5=$N$29,Meal1[[#Totals],[Massenanpassung]]*$N$31,Meal1[[#This Row],[Menge '[g']]]*$N$31)</f>
        <v>0</v>
      </c>
      <c r="E26" s="3">
        <f>Meal1[[#This Row],[Berechnete Menge '[g']]]*Input!$B$7</f>
        <v>0</v>
      </c>
      <c r="F26" s="18">
        <f>Meal1[[#This Row],[Berechnete Menge '[g']]]*5.43</f>
        <v>0</v>
      </c>
      <c r="G26" s="5" t="str">
        <f>IFERROR(VLOOKUP(Meal1[[#This Row],[Zutat '[Name aus Tabelle']]],Tabelle2[],11,FALSE)*Meal1[[#This Row],[Berechnete Menge '[g']]],"")</f>
        <v/>
      </c>
      <c r="H26" s="3" t="str">
        <f>IFERROR(Meal1[[#This Row],[Berechnete Menge '[g']]]*Meal1[[#This Row],[Kaloriendichte '[kcal/g']]],"")</f>
        <v/>
      </c>
      <c r="I26" s="7" t="str">
        <f>IFERROR(Meal1[[#This Row],[Berechnete Menge '[g']]]*Meal1[[#This Row],[Proteindichte '[g/g']]],"")</f>
        <v/>
      </c>
      <c r="J26" s="12" t="str">
        <f>IFERROR(VLOOKUP(Meal1[[#This Row],[Zutat '[Name aus Tabelle']]],Tabelle2[],13,FALSE),"")</f>
        <v/>
      </c>
      <c r="K26" s="12" t="str">
        <f>IFERROR(VLOOKUP(Meal1[[#This Row],[Zutat '[Name aus Tabelle']]],Tabelle2[],14,FALSE),"")</f>
        <v/>
      </c>
      <c r="L26" s="3">
        <f>IFERROR(Meal1[[#This Row],[Kaloriendichte '[kcal/g']]]*Meal1[[#This Row],[Menge '[g']]],0)</f>
        <v>0</v>
      </c>
      <c r="M26" s="7">
        <f>IFERROR(Meal1[[#This Row],[Proteindichte '[g/g']]]*Meal1[[#This Row],[Menge '[g']]],0)</f>
        <v>0</v>
      </c>
      <c r="N26" s="7">
        <f>IFERROR(($N$28*(Meal1[[#Totals],[Kalorien vorher '[kcal']]]-Meal1[[#This Row],[Kalorien vorher '[kcal']]])-(Meal1[[#Totals],[Proteine vorher '[g']]]-Meal1[[#This Row],[Proteine vorher '[g']]]))/(Meal1[[#This Row],[Proteindichte '[g/g']]]-$N$28*Meal1[[#This Row],[Kaloriendichte '[kcal/g']]]),1000000)</f>
        <v>1000000</v>
      </c>
      <c r="O26" s="7">
        <f>IFERROR(ABS(Meal1[[#This Row],[Massenanpassung]]-Meal1[[#This Row],[Menge '[g']]])/Meal1[[#This Row],[Menge '[g']]],1000000)</f>
        <v>1000000</v>
      </c>
      <c r="P26" s="6"/>
    </row>
    <row r="27" spans="1:16" x14ac:dyDescent="0.55000000000000004">
      <c r="A27" t="s">
        <v>19</v>
      </c>
      <c r="G27" s="5">
        <f>SUBTOTAL(109,Meal1[Kosten '[€']])</f>
        <v>1.4555374822200631</v>
      </c>
      <c r="H27" s="3">
        <f>SUBTOTAL(109,Meal1[Kalorien '[kcal']])</f>
        <v>750</v>
      </c>
      <c r="I27" s="3">
        <f>SUBTOTAL(109,Meal1[Proteine '[g']])</f>
        <v>50.000000000000014</v>
      </c>
      <c r="L27" s="3">
        <f>SUBTOTAL(109,Meal1[Kalorien vorher '[kcal']])</f>
        <v>927.90000000000009</v>
      </c>
      <c r="M27" s="3">
        <f>SUBTOTAL(109,Meal1[Proteine vorher '[g']])</f>
        <v>50.1</v>
      </c>
      <c r="N27" cm="1">
        <f t="array" ref="N27">INDEX(Meal1[Massenanpassung],N29)</f>
        <v>371.26213592233017</v>
      </c>
      <c r="O27" s="7" cm="1">
        <f t="array" ref="O27">MIN(IF(Meal1[Massenanpassung]&lt;0,"",Meal1[Relative Abweichung]))</f>
        <v>0.85631067961165086</v>
      </c>
      <c r="P27" s="6"/>
    </row>
    <row r="28" spans="1:16" x14ac:dyDescent="0.55000000000000004">
      <c r="A28" s="11"/>
      <c r="B28" s="11"/>
      <c r="C28" s="11"/>
      <c r="D28" s="11"/>
      <c r="E28" s="11"/>
      <c r="F28" s="35" t="s">
        <v>63</v>
      </c>
      <c r="G28" s="35"/>
      <c r="H28" s="15">
        <f>Input!B4-Meal1[[#Totals],[Kalorien '[kcal']]]</f>
        <v>2250</v>
      </c>
      <c r="I28" s="15">
        <f>Input!B5-Meal1[[#Totals],[Proteine '[g']]]</f>
        <v>150</v>
      </c>
      <c r="J28" s="6"/>
      <c r="K28" s="6"/>
      <c r="L28" s="6"/>
      <c r="M28" s="22" t="s">
        <v>91</v>
      </c>
      <c r="N28" s="23">
        <f>K4/K3</f>
        <v>6.6666666666666666E-2</v>
      </c>
      <c r="O28" s="6"/>
      <c r="P28" s="6"/>
    </row>
    <row r="29" spans="1:16" x14ac:dyDescent="0.55000000000000004">
      <c r="A29" s="6"/>
      <c r="B29" s="10"/>
      <c r="C29" s="10"/>
      <c r="D29" s="11"/>
      <c r="E29" s="11"/>
      <c r="F29" s="11"/>
      <c r="G29" s="6"/>
      <c r="H29" s="6"/>
      <c r="I29" s="6"/>
      <c r="J29" s="6"/>
      <c r="K29" s="6"/>
      <c r="L29" s="6"/>
      <c r="M29" s="22" t="s">
        <v>92</v>
      </c>
      <c r="N29" s="24">
        <f>MATCH(Meal1[[#Totals],[Relative Abweichung]],Meal1[Relative Abweichung],0)</f>
        <v>2</v>
      </c>
      <c r="O29" s="6"/>
      <c r="P29" s="6"/>
    </row>
    <row r="30" spans="1:16" x14ac:dyDescent="0.55000000000000004">
      <c r="A30" s="6"/>
      <c r="B30" s="10"/>
      <c r="C30" s="10"/>
      <c r="D30" s="11"/>
      <c r="E30" s="11"/>
      <c r="F30" s="11"/>
      <c r="G30" s="6"/>
      <c r="H30" s="6"/>
      <c r="I30" s="6"/>
      <c r="J30" s="6"/>
      <c r="K30" s="6"/>
      <c r="L30" s="6"/>
      <c r="M30" s="22" t="s">
        <v>93</v>
      </c>
      <c r="N30" s="24" cm="1">
        <f t="array" ref="N30">Meal1[[#Totals],[Kalorien vorher '[kcal']]]-INDEX(Meal1[Kalorien vorher '[kcal']],N29)+Meal1[[#Totals],[Massenanpassung]]*INDEX(Meal1[Kaloriendichte '[kcal/g']],N29)</f>
        <v>1034.0825242718447</v>
      </c>
      <c r="O30" s="6"/>
      <c r="P30" s="6"/>
    </row>
    <row r="31" spans="1:16" x14ac:dyDescent="0.55000000000000004">
      <c r="A31" s="6"/>
      <c r="B31" s="10"/>
      <c r="C31" s="10"/>
      <c r="D31" s="11"/>
      <c r="E31" s="11"/>
      <c r="F31" s="11"/>
      <c r="G31" s="6"/>
      <c r="H31" s="6"/>
      <c r="I31" s="6"/>
      <c r="J31" s="6"/>
      <c r="K31" s="6"/>
      <c r="L31" s="6"/>
      <c r="M31" s="22" t="s">
        <v>94</v>
      </c>
      <c r="N31" s="25">
        <f>K3/N30</f>
        <v>0.72528060613742307</v>
      </c>
      <c r="O31" s="6"/>
      <c r="P31" s="6"/>
    </row>
    <row r="35" spans="2:12" x14ac:dyDescent="0.55000000000000004">
      <c r="L35" s="3"/>
    </row>
    <row r="40" spans="2:12" x14ac:dyDescent="0.55000000000000004">
      <c r="B40" s="3"/>
    </row>
    <row r="41" spans="2:12" x14ac:dyDescent="0.55000000000000004">
      <c r="B41" s="3"/>
    </row>
    <row r="42" spans="2:12" x14ac:dyDescent="0.55000000000000004">
      <c r="B42" s="3"/>
    </row>
    <row r="43" spans="2:12" x14ac:dyDescent="0.55000000000000004">
      <c r="B43" s="3"/>
    </row>
    <row r="44" spans="2:12" x14ac:dyDescent="0.55000000000000004">
      <c r="B44" s="3"/>
    </row>
    <row r="45" spans="2:12" x14ac:dyDescent="0.55000000000000004">
      <c r="B45" s="3"/>
    </row>
  </sheetData>
  <mergeCells count="4">
    <mergeCell ref="B3:J3"/>
    <mergeCell ref="B4:J4"/>
    <mergeCell ref="A1:O2"/>
    <mergeCell ref="F28:G28"/>
  </mergeCells>
  <conditionalFormatting sqref="G6:G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8F40-7930-4A85-8238-50694DCEAF73}">
  <dimension ref="A1:P43"/>
  <sheetViews>
    <sheetView zoomScale="90" zoomScaleNormal="90" workbookViewId="0">
      <selection activeCell="E50" sqref="E50"/>
    </sheetView>
  </sheetViews>
  <sheetFormatPr baseColWidth="10" defaultColWidth="10.734375" defaultRowHeight="14.4" outlineLevelCol="1" x14ac:dyDescent="0.55000000000000004"/>
  <cols>
    <col min="1" max="1" width="23.7890625" customWidth="1"/>
    <col min="2" max="2" width="11.15625" customWidth="1"/>
    <col min="3" max="3" width="3.1015625" customWidth="1"/>
    <col min="4" max="4" width="21.1015625" customWidth="1"/>
    <col min="5" max="5" width="17.47265625" customWidth="1"/>
    <col min="6" max="6" width="21.9453125" customWidth="1"/>
    <col min="7" max="7" width="11.15625" customWidth="1"/>
    <col min="8" max="8" width="14.9453125" customWidth="1"/>
    <col min="9" max="9" width="12.7890625" customWidth="1"/>
    <col min="10" max="10" width="21.5234375" customWidth="1"/>
    <col min="11" max="11" width="18.41796875" customWidth="1"/>
    <col min="12" max="12" width="20.83984375" hidden="1" customWidth="1" outlineLevel="1"/>
    <col min="13" max="13" width="18.68359375" hidden="1" customWidth="1" outlineLevel="1"/>
    <col min="14" max="15" width="0" hidden="1" customWidth="1" outlineLevel="1"/>
    <col min="16" max="16" width="10.734375" collapsed="1"/>
  </cols>
  <sheetData>
    <row r="1" spans="1:16" ht="14.5" customHeight="1" x14ac:dyDescent="0.55000000000000004">
      <c r="A1" s="34" t="s">
        <v>39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6"/>
    </row>
    <row r="2" spans="1:16" ht="14.65" customHeight="1" x14ac:dyDescent="0.5500000000000000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6"/>
    </row>
    <row r="3" spans="1:16" x14ac:dyDescent="0.55000000000000004">
      <c r="A3" s="14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16">
        <f>IF(ISBLANK(B3),'Meal 1'!H28/(Input!B7-1),B3)</f>
        <v>750</v>
      </c>
      <c r="L3" s="6"/>
      <c r="M3" s="6"/>
      <c r="N3" s="6"/>
      <c r="O3" s="6"/>
      <c r="P3" s="6"/>
    </row>
    <row r="4" spans="1:16" x14ac:dyDescent="0.55000000000000004">
      <c r="A4" s="14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16">
        <f>IF(ISBLANK(B4),'Meal 1'!I28/(Input!B6-1),B4)</f>
        <v>50</v>
      </c>
      <c r="L4" s="6"/>
      <c r="M4" s="6"/>
      <c r="N4" s="6"/>
      <c r="O4" s="6"/>
      <c r="P4" s="6"/>
    </row>
    <row r="5" spans="1:16" x14ac:dyDescent="0.55000000000000004">
      <c r="A5" t="s">
        <v>16</v>
      </c>
      <c r="B5" s="3" t="s">
        <v>2</v>
      </c>
      <c r="C5" s="3" t="s">
        <v>59</v>
      </c>
      <c r="D5" t="s">
        <v>21</v>
      </c>
      <c r="E5" t="s">
        <v>81</v>
      </c>
      <c r="F5" t="s">
        <v>83</v>
      </c>
      <c r="G5" t="s">
        <v>18</v>
      </c>
      <c r="H5" t="s">
        <v>15</v>
      </c>
      <c r="I5" t="s">
        <v>17</v>
      </c>
      <c r="J5" s="3" t="s">
        <v>24</v>
      </c>
      <c r="K5" s="3" t="s">
        <v>25</v>
      </c>
      <c r="L5" s="2" t="s">
        <v>28</v>
      </c>
      <c r="M5" t="s">
        <v>27</v>
      </c>
      <c r="N5" t="s">
        <v>89</v>
      </c>
      <c r="O5" t="s">
        <v>90</v>
      </c>
      <c r="P5" s="6"/>
    </row>
    <row r="6" spans="1:16" x14ac:dyDescent="0.55000000000000004">
      <c r="A6" s="20" t="s">
        <v>38</v>
      </c>
      <c r="B6" s="26">
        <v>200</v>
      </c>
      <c r="C6" s="3"/>
      <c r="D6" s="3">
        <f>IF(ROW()-5=$N$29,Meal2[[#Totals],[Massenanpassung]]*$N$31,Meal2[[#This Row],[Menge '[g']]]*$N$31)</f>
        <v>176.08896385403352</v>
      </c>
      <c r="E6" s="3">
        <f>Meal2[[#This Row],[Berechnete Menge '[g']]]*Input!$B$7</f>
        <v>704.35585541613409</v>
      </c>
      <c r="F6" s="18" t="str">
        <f>IFERROR(Meal2[[#This Row],[Gesamtmenge '[g']]]*$L$36,"-")</f>
        <v>-</v>
      </c>
      <c r="G6" s="5">
        <f>IFERROR(VLOOKUP(Meal2[[#This Row],[Zutat '[Name aus Tabelle']]],Tabelle2[],11,FALSE)*Meal2[[#This Row],[Berechnete Menge '[g']]],"")</f>
        <v>2.1086653421520514</v>
      </c>
      <c r="H6" s="3">
        <f>IFERROR(Meal2[[#This Row],[Berechnete Menge '[g']]]*Meal2[[#This Row],[Kaloriendichte '[kcal/g']]],"")</f>
        <v>413.8090650569788</v>
      </c>
      <c r="I6" s="7">
        <f>IFERROR(Meal2[[#This Row],[Berechnete Menge '[g']]]*Meal2[[#This Row],[Proteindichte '[g/g']]],"")</f>
        <v>35.217792770806703</v>
      </c>
      <c r="J6" s="2">
        <f>IFERROR(VLOOKUP(Meal2[[#This Row],[Zutat '[Name aus Tabelle']]],Tabelle2[],13,FALSE),"")</f>
        <v>2.35</v>
      </c>
      <c r="K6" s="2">
        <f>IFERROR(VLOOKUP(Meal2[[#This Row],[Zutat '[Name aus Tabelle']]],Tabelle2[],14,FALSE),"")</f>
        <v>0.2</v>
      </c>
      <c r="L6" s="3">
        <f>IFERROR(Meal2[[#This Row],[Kaloriendichte '[kcal/g']]]*Meal2[[#This Row],[Menge '[g']]],0)</f>
        <v>470</v>
      </c>
      <c r="M6" s="7">
        <f>IFERROR(Meal2[[#This Row],[Proteindichte '[g/g']]]*Meal2[[#This Row],[Menge '[g']]],0)</f>
        <v>40</v>
      </c>
      <c r="N6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169.28461538461551</v>
      </c>
      <c r="O6" s="7">
        <f>IFERROR(ABS(Meal2[[#This Row],[Massenanpassung]]-Meal2[[#This Row],[Menge '[g']]])/Meal2[[#This Row],[Menge '[g']]],1000000)</f>
        <v>0.15357692307692247</v>
      </c>
      <c r="P6" s="6"/>
    </row>
    <row r="7" spans="1:16" x14ac:dyDescent="0.55000000000000004">
      <c r="A7" s="21" t="s">
        <v>36</v>
      </c>
      <c r="B7" s="27">
        <v>170</v>
      </c>
      <c r="C7" s="7"/>
      <c r="D7" s="3">
        <f>IF(ROW()-5=$N$29,Meal2[[#Totals],[Massenanpassung]]*$N$31,Meal2[[#This Row],[Menge '[g']]]*$N$31)</f>
        <v>176.83310315691088</v>
      </c>
      <c r="E7" s="3">
        <f>Meal2[[#This Row],[Berechnete Menge '[g']]]*Input!$B$7</f>
        <v>707.33241262764352</v>
      </c>
      <c r="F7" s="18" t="str">
        <f>IFERROR(Meal2[[#This Row],[Gesamtmenge '[g']]]*$L$36,"-")</f>
        <v>-</v>
      </c>
      <c r="G7" s="5">
        <f>IFERROR(VLOOKUP(Meal2[[#This Row],[Zutat '[Name aus Tabelle']]],Tabelle2[],11,FALSE)*Meal2[[#This Row],[Berechnete Menge '[g']]],"")</f>
        <v>1.0123695155733148</v>
      </c>
      <c r="H7" s="3">
        <f>IFERROR(Meal2[[#This Row],[Berechnete Menge '[g']]]*Meal2[[#This Row],[Kaloriendichte '[kcal/g']]],"")</f>
        <v>54.818261978642376</v>
      </c>
      <c r="I7" s="7">
        <f>IFERROR(Meal2[[#This Row],[Berechnete Menge '[g']]]*Meal2[[#This Row],[Proteindichte '[g/g']]],"")</f>
        <v>3.2360457877714692</v>
      </c>
      <c r="J7" s="2">
        <f>IFERROR(VLOOKUP(Meal2[[#This Row],[Zutat '[Name aus Tabelle']]],Tabelle2[],13,FALSE),"")</f>
        <v>0.31</v>
      </c>
      <c r="K7" s="2">
        <f>IFERROR(VLOOKUP(Meal2[[#This Row],[Zutat '[Name aus Tabelle']]],Tabelle2[],14,FALSE),"")</f>
        <v>1.83E-2</v>
      </c>
      <c r="L7" s="3">
        <f>IFERROR(Meal2[[#This Row],[Kaloriendichte '[kcal/g']]]*Meal2[[#This Row],[Menge '[g']]],0)</f>
        <v>52.7</v>
      </c>
      <c r="M7" s="7">
        <f>IFERROR(Meal2[[#This Row],[Proteindichte '[g/g']]]*Meal2[[#This Row],[Menge '[g']]],0)</f>
        <v>3.1110000000000002</v>
      </c>
      <c r="N7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732.39436619718367</v>
      </c>
      <c r="O7" s="7">
        <f>IFERROR(ABS(Meal2[[#This Row],[Massenanpassung]]-Meal2[[#This Row],[Menge '[g']]])/Meal2[[#This Row],[Menge '[g']]],1000000)</f>
        <v>3.3082021541010804</v>
      </c>
      <c r="P7" s="6"/>
    </row>
    <row r="8" spans="1:16" x14ac:dyDescent="0.55000000000000004">
      <c r="A8" s="20" t="s">
        <v>26</v>
      </c>
      <c r="B8" s="26">
        <v>200</v>
      </c>
      <c r="C8" s="3"/>
      <c r="D8" s="3">
        <f>IF(ROW()-5=$N$29,Meal2[[#Totals],[Massenanpassung]]*$N$31,Meal2[[#This Row],[Menge '[g']]]*$N$31)</f>
        <v>208.03894489048341</v>
      </c>
      <c r="E8" s="3">
        <f>Meal2[[#This Row],[Berechnete Menge '[g']]]*Input!$B$7</f>
        <v>832.15577956193363</v>
      </c>
      <c r="F8" s="18" t="str">
        <f>IFERROR(Meal2[[#This Row],[Gesamtmenge '[g']]]*$L$36,"-")</f>
        <v>-</v>
      </c>
      <c r="G8" s="5">
        <f>IFERROR(VLOOKUP(Meal2[[#This Row],[Zutat '[Name aus Tabelle']]],Tabelle2[],11,FALSE)*Meal2[[#This Row],[Berechnete Menge '[g']]],"")</f>
        <v>0.2486065391441277</v>
      </c>
      <c r="H8" s="3">
        <f>IFERROR(Meal2[[#This Row],[Berechnete Menge '[g']]]*Meal2[[#This Row],[Kaloriendichte '[kcal/g']]],"")</f>
        <v>143.54687197443354</v>
      </c>
      <c r="I8" s="7">
        <f>IFERROR(Meal2[[#This Row],[Berechnete Menge '[g']]]*Meal2[[#This Row],[Proteindichte '[g/g']]],"")</f>
        <v>4.160778897809668</v>
      </c>
      <c r="J8" s="2">
        <f>IFERROR(VLOOKUP(Meal2[[#This Row],[Zutat '[Name aus Tabelle']]],Tabelle2[],13,FALSE),"")</f>
        <v>0.69</v>
      </c>
      <c r="K8" s="2">
        <f>IFERROR(VLOOKUP(Meal2[[#This Row],[Zutat '[Name aus Tabelle']]],Tabelle2[],14,FALSE),"")</f>
        <v>0.02</v>
      </c>
      <c r="L8" s="3">
        <f>IFERROR(Meal2[[#This Row],[Kaloriendichte '[kcal/g']]]*Meal2[[#This Row],[Menge '[g']]],0)</f>
        <v>138</v>
      </c>
      <c r="M8" s="7">
        <f>IFERROR(Meal2[[#This Row],[Proteindichte '[g/g']]]*Meal2[[#This Row],[Menge '[g']]],0)</f>
        <v>4</v>
      </c>
      <c r="N8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251.19230769230765</v>
      </c>
      <c r="O8" s="7">
        <f>IFERROR(ABS(Meal2[[#This Row],[Massenanpassung]]-Meal2[[#This Row],[Menge '[g']]])/Meal2[[#This Row],[Menge '[g']]],1000000)</f>
        <v>0.25596153846153824</v>
      </c>
      <c r="P8" s="6"/>
    </row>
    <row r="9" spans="1:16" x14ac:dyDescent="0.55000000000000004">
      <c r="A9" s="21" t="s">
        <v>37</v>
      </c>
      <c r="B9" s="27">
        <v>50</v>
      </c>
      <c r="C9" s="3"/>
      <c r="D9" s="3">
        <f>IF(ROW()-5=$N$29,Meal2[[#Totals],[Massenanpassung]]*$N$31,Meal2[[#This Row],[Menge '[g']]]*$N$31)</f>
        <v>52.009736222620852</v>
      </c>
      <c r="E9" s="3">
        <f>Meal2[[#This Row],[Berechnete Menge '[g']]]*Input!$B$7</f>
        <v>208.03894489048341</v>
      </c>
      <c r="F9" s="18" t="str">
        <f>IFERROR(Meal2[[#This Row],[Gesamtmenge '[g']]]*$L$36,"-")</f>
        <v>-</v>
      </c>
      <c r="G9" s="5">
        <f>IFERROR(VLOOKUP(Meal2[[#This Row],[Zutat '[Name aus Tabelle']]],Tabelle2[],11,FALSE)*Meal2[[#This Row],[Berechnete Menge '[g']]],"")</f>
        <v>0.83504520935207927</v>
      </c>
      <c r="H9" s="3">
        <f>IFERROR(Meal2[[#This Row],[Berechnete Menge '[g']]]*Meal2[[#This Row],[Kaloriendichte '[kcal/g']]],"")</f>
        <v>137.82580098994526</v>
      </c>
      <c r="I9" s="7">
        <f>IFERROR(Meal2[[#This Row],[Berechnete Menge '[g']]]*Meal2[[#This Row],[Proteindichte '[g/g']]],"")</f>
        <v>7.3853825436121605</v>
      </c>
      <c r="J9" s="2">
        <f>IFERROR(VLOOKUP(Meal2[[#This Row],[Zutat '[Name aus Tabelle']]],Tabelle2[],13,FALSE),"")</f>
        <v>2.65</v>
      </c>
      <c r="K9" s="2">
        <f>IFERROR(VLOOKUP(Meal2[[#This Row],[Zutat '[Name aus Tabelle']]],Tabelle2[],14,FALSE),"")</f>
        <v>0.14199999999999999</v>
      </c>
      <c r="L9" s="3">
        <f>IFERROR(Meal2[[#This Row],[Kaloriendichte '[kcal/g']]]*Meal2[[#This Row],[Menge '[g']]],0)</f>
        <v>132.5</v>
      </c>
      <c r="M9" s="7">
        <f>IFERROR(Meal2[[#This Row],[Proteindichte '[g/g']]]*Meal2[[#This Row],[Menge '[g']]],0)</f>
        <v>7.1</v>
      </c>
      <c r="N9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88.394230769230646</v>
      </c>
      <c r="O9" s="7">
        <f>IFERROR(ABS(Meal2[[#This Row],[Massenanpassung]]-Meal2[[#This Row],[Menge '[g']]])/Meal2[[#This Row],[Menge '[g']]],1000000)</f>
        <v>0.76788461538461295</v>
      </c>
      <c r="P9" s="6"/>
    </row>
    <row r="10" spans="1:16" x14ac:dyDescent="0.55000000000000004">
      <c r="B10" s="3"/>
      <c r="C10" s="3"/>
      <c r="D10" s="3">
        <f>IF(ROW()-5=$N$29,Meal2[[#Totals],[Massenanpassung]]*$N$31,Meal2[[#This Row],[Menge '[g']]]*$N$31)</f>
        <v>0</v>
      </c>
      <c r="E10" s="3">
        <f>Meal2[[#This Row],[Berechnete Menge '[g']]]*Input!$B$7</f>
        <v>0</v>
      </c>
      <c r="F10" s="18" t="str">
        <f>IFERROR(Meal2[[#This Row],[Gesamtmenge '[g']]]*$L$36,"-")</f>
        <v>-</v>
      </c>
      <c r="G10" s="5" t="str">
        <f>IFERROR(VLOOKUP(Meal2[[#This Row],[Zutat '[Name aus Tabelle']]],Tabelle2[],11,FALSE)*Meal2[[#This Row],[Berechnete Menge '[g']]],"")</f>
        <v/>
      </c>
      <c r="H10" s="3" t="str">
        <f>IFERROR(Meal2[[#This Row],[Berechnete Menge '[g']]]*Meal2[[#This Row],[Kaloriendichte '[kcal/g']]],"")</f>
        <v/>
      </c>
      <c r="I10" s="7" t="str">
        <f>IFERROR(Meal2[[#This Row],[Berechnete Menge '[g']]]*Meal2[[#This Row],[Proteindichte '[g/g']]],"")</f>
        <v/>
      </c>
      <c r="J10" s="2" t="str">
        <f>IFERROR(VLOOKUP(Meal2[[#This Row],[Zutat '[Name aus Tabelle']]],Tabelle2[],13,FALSE),"")</f>
        <v/>
      </c>
      <c r="K10" s="2" t="str">
        <f>IFERROR(VLOOKUP(Meal2[[#This Row],[Zutat '[Name aus Tabelle']]],Tabelle2[],14,FALSE),"")</f>
        <v/>
      </c>
      <c r="L10" s="3">
        <f>IFERROR(Meal2[[#This Row],[Kaloriendichte '[kcal/g']]]*Meal2[[#This Row],[Menge '[g']]],0)</f>
        <v>0</v>
      </c>
      <c r="M10" s="7">
        <f>IFERROR(Meal2[[#This Row],[Proteindichte '[g/g']]]*Meal2[[#This Row],[Menge '[g']]],0)</f>
        <v>0</v>
      </c>
      <c r="N10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0" s="7">
        <f>IFERROR(ABS(Meal2[[#This Row],[Massenanpassung]]-Meal2[[#This Row],[Menge '[g']]])/Meal2[[#This Row],[Menge '[g']]],1000000)</f>
        <v>1000000</v>
      </c>
      <c r="P10" s="6"/>
    </row>
    <row r="11" spans="1:16" x14ac:dyDescent="0.55000000000000004">
      <c r="B11" s="3"/>
      <c r="C11" s="3"/>
      <c r="D11" s="3">
        <f>IF(ROW()-5=$N$29,Meal2[[#Totals],[Massenanpassung]]*$N$31,Meal2[[#This Row],[Menge '[g']]]*$N$31)</f>
        <v>0</v>
      </c>
      <c r="E11" s="3">
        <f>Meal2[[#This Row],[Berechnete Menge '[g']]]*Input!$B$7</f>
        <v>0</v>
      </c>
      <c r="F11" s="18" t="str">
        <f>IFERROR(Meal2[[#This Row],[Gesamtmenge '[g']]]*$L$36,"-")</f>
        <v>-</v>
      </c>
      <c r="G11" s="5" t="str">
        <f>IFERROR(VLOOKUP(Meal2[[#This Row],[Zutat '[Name aus Tabelle']]],Tabelle2[],11,FALSE)*Meal2[[#This Row],[Berechnete Menge '[g']]],"")</f>
        <v/>
      </c>
      <c r="H11" s="3" t="str">
        <f>IFERROR(Meal2[[#This Row],[Berechnete Menge '[g']]]*Meal2[[#This Row],[Kaloriendichte '[kcal/g']]],"")</f>
        <v/>
      </c>
      <c r="I11" s="7" t="str">
        <f>IFERROR(Meal2[[#This Row],[Berechnete Menge '[g']]]*Meal2[[#This Row],[Proteindichte '[g/g']]],"")</f>
        <v/>
      </c>
      <c r="J11" s="2" t="str">
        <f>IFERROR(VLOOKUP(Meal2[[#This Row],[Zutat '[Name aus Tabelle']]],Tabelle2[],13,FALSE),"")</f>
        <v/>
      </c>
      <c r="K11" s="2" t="str">
        <f>IFERROR(VLOOKUP(Meal2[[#This Row],[Zutat '[Name aus Tabelle']]],Tabelle2[],14,FALSE),"")</f>
        <v/>
      </c>
      <c r="L11" s="3">
        <f>IFERROR(Meal2[[#This Row],[Kaloriendichte '[kcal/g']]]*Meal2[[#This Row],[Menge '[g']]],0)</f>
        <v>0</v>
      </c>
      <c r="M11" s="7">
        <f>IFERROR(Meal2[[#This Row],[Proteindichte '[g/g']]]*Meal2[[#This Row],[Menge '[g']]],0)</f>
        <v>0</v>
      </c>
      <c r="N11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1" s="7">
        <f>IFERROR(ABS(Meal2[[#This Row],[Massenanpassung]]-Meal2[[#This Row],[Menge '[g']]])/Meal2[[#This Row],[Menge '[g']]],1000000)</f>
        <v>1000000</v>
      </c>
      <c r="P11" s="6"/>
    </row>
    <row r="12" spans="1:16" x14ac:dyDescent="0.55000000000000004">
      <c r="B12" s="3"/>
      <c r="C12" s="3"/>
      <c r="D12" s="3">
        <f>IF(ROW()-5=$N$29,Meal2[[#Totals],[Massenanpassung]]*$N$31,Meal2[[#This Row],[Menge '[g']]]*$N$31)</f>
        <v>0</v>
      </c>
      <c r="E12" s="3">
        <f>Meal2[[#This Row],[Berechnete Menge '[g']]]*Input!$B$7</f>
        <v>0</v>
      </c>
      <c r="F12" s="18" t="str">
        <f>IFERROR(Meal2[[#This Row],[Gesamtmenge '[g']]]*$L$36,"-")</f>
        <v>-</v>
      </c>
      <c r="G12" s="5" t="str">
        <f>IFERROR(VLOOKUP(Meal2[[#This Row],[Zutat '[Name aus Tabelle']]],Tabelle2[],11,FALSE)*Meal2[[#This Row],[Berechnete Menge '[g']]],"")</f>
        <v/>
      </c>
      <c r="H12" s="3" t="str">
        <f>IFERROR(Meal2[[#This Row],[Berechnete Menge '[g']]]*Meal2[[#This Row],[Kaloriendichte '[kcal/g']]],"")</f>
        <v/>
      </c>
      <c r="I12" s="7" t="str">
        <f>IFERROR(Meal2[[#This Row],[Berechnete Menge '[g']]]*Meal2[[#This Row],[Proteindichte '[g/g']]],"")</f>
        <v/>
      </c>
      <c r="J12" s="2" t="str">
        <f>IFERROR(VLOOKUP(Meal2[[#This Row],[Zutat '[Name aus Tabelle']]],Tabelle2[],13,FALSE),"")</f>
        <v/>
      </c>
      <c r="K12" s="2" t="str">
        <f>IFERROR(VLOOKUP(Meal2[[#This Row],[Zutat '[Name aus Tabelle']]],Tabelle2[],14,FALSE),"")</f>
        <v/>
      </c>
      <c r="L12" s="3">
        <f>IFERROR(Meal2[[#This Row],[Kaloriendichte '[kcal/g']]]*Meal2[[#This Row],[Menge '[g']]],0)</f>
        <v>0</v>
      </c>
      <c r="M12" s="7">
        <f>IFERROR(Meal2[[#This Row],[Proteindichte '[g/g']]]*Meal2[[#This Row],[Menge '[g']]],0)</f>
        <v>0</v>
      </c>
      <c r="N12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2" s="7">
        <f>IFERROR(ABS(Meal2[[#This Row],[Massenanpassung]]-Meal2[[#This Row],[Menge '[g']]])/Meal2[[#This Row],[Menge '[g']]],1000000)</f>
        <v>1000000</v>
      </c>
      <c r="P12" s="6"/>
    </row>
    <row r="13" spans="1:16" x14ac:dyDescent="0.55000000000000004">
      <c r="B13" s="3"/>
      <c r="C13" s="3"/>
      <c r="D13" s="3">
        <f>IF(ROW()-5=$N$29,Meal2[[#Totals],[Massenanpassung]]*$N$31,Meal2[[#This Row],[Menge '[g']]]*$N$31)</f>
        <v>0</v>
      </c>
      <c r="E13" s="3">
        <f>Meal2[[#This Row],[Berechnete Menge '[g']]]*Input!$B$7</f>
        <v>0</v>
      </c>
      <c r="F13" s="18" t="str">
        <f>IFERROR(Meal2[[#This Row],[Gesamtmenge '[g']]]*$L$36,"-")</f>
        <v>-</v>
      </c>
      <c r="G13" s="5" t="str">
        <f>IFERROR(VLOOKUP(Meal2[[#This Row],[Zutat '[Name aus Tabelle']]],Tabelle2[],11,FALSE)*Meal2[[#This Row],[Berechnete Menge '[g']]],"")</f>
        <v/>
      </c>
      <c r="H13" s="3" t="str">
        <f>IFERROR(Meal2[[#This Row],[Berechnete Menge '[g']]]*Meal2[[#This Row],[Kaloriendichte '[kcal/g']]],"")</f>
        <v/>
      </c>
      <c r="I13" s="7" t="str">
        <f>IFERROR(Meal2[[#This Row],[Berechnete Menge '[g']]]*Meal2[[#This Row],[Proteindichte '[g/g']]],"")</f>
        <v/>
      </c>
      <c r="J13" s="2" t="str">
        <f>IFERROR(VLOOKUP(Meal2[[#This Row],[Zutat '[Name aus Tabelle']]],Tabelle2[],13,FALSE),"")</f>
        <v/>
      </c>
      <c r="K13" s="2" t="str">
        <f>IFERROR(VLOOKUP(Meal2[[#This Row],[Zutat '[Name aus Tabelle']]],Tabelle2[],14,FALSE),"")</f>
        <v/>
      </c>
      <c r="L13" s="3">
        <f>IFERROR(Meal2[[#This Row],[Kaloriendichte '[kcal/g']]]*Meal2[[#This Row],[Menge '[g']]],0)</f>
        <v>0</v>
      </c>
      <c r="M13" s="7">
        <f>IFERROR(Meal2[[#This Row],[Proteindichte '[g/g']]]*Meal2[[#This Row],[Menge '[g']]],0)</f>
        <v>0</v>
      </c>
      <c r="N13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3" s="7">
        <f>IFERROR(ABS(Meal2[[#This Row],[Massenanpassung]]-Meal2[[#This Row],[Menge '[g']]])/Meal2[[#This Row],[Menge '[g']]],1000000)</f>
        <v>1000000</v>
      </c>
      <c r="P13" s="6"/>
    </row>
    <row r="14" spans="1:16" x14ac:dyDescent="0.55000000000000004">
      <c r="B14" s="3"/>
      <c r="C14" s="3"/>
      <c r="D14" s="3">
        <f>IF(ROW()-5=$N$29,Meal2[[#Totals],[Massenanpassung]]*$N$31,Meal2[[#This Row],[Menge '[g']]]*$N$31)</f>
        <v>0</v>
      </c>
      <c r="E14" s="3">
        <f>Meal2[[#This Row],[Berechnete Menge '[g']]]*Input!$B$7</f>
        <v>0</v>
      </c>
      <c r="F14" s="18" t="str">
        <f>IFERROR(Meal2[[#This Row],[Gesamtmenge '[g']]]*$L$36,"-")</f>
        <v>-</v>
      </c>
      <c r="G14" s="5" t="str">
        <f>IFERROR(VLOOKUP(Meal2[[#This Row],[Zutat '[Name aus Tabelle']]],Tabelle2[],11,FALSE)*Meal2[[#This Row],[Berechnete Menge '[g']]],"")</f>
        <v/>
      </c>
      <c r="H14" s="3" t="str">
        <f>IFERROR(Meal2[[#This Row],[Berechnete Menge '[g']]]*Meal2[[#This Row],[Kaloriendichte '[kcal/g']]],"")</f>
        <v/>
      </c>
      <c r="I14" s="7" t="str">
        <f>IFERROR(Meal2[[#This Row],[Berechnete Menge '[g']]]*Meal2[[#This Row],[Proteindichte '[g/g']]],"")</f>
        <v/>
      </c>
      <c r="J14" s="2" t="str">
        <f>IFERROR(VLOOKUP(Meal2[[#This Row],[Zutat '[Name aus Tabelle']]],Tabelle2[],13,FALSE),"")</f>
        <v/>
      </c>
      <c r="K14" s="2" t="str">
        <f>IFERROR(VLOOKUP(Meal2[[#This Row],[Zutat '[Name aus Tabelle']]],Tabelle2[],14,FALSE),"")</f>
        <v/>
      </c>
      <c r="L14" s="3">
        <f>IFERROR(Meal2[[#This Row],[Kaloriendichte '[kcal/g']]]*Meal2[[#This Row],[Menge '[g']]],0)</f>
        <v>0</v>
      </c>
      <c r="M14" s="7">
        <f>IFERROR(Meal2[[#This Row],[Proteindichte '[g/g']]]*Meal2[[#This Row],[Menge '[g']]],0)</f>
        <v>0</v>
      </c>
      <c r="N14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4" s="7">
        <f>IFERROR(ABS(Meal2[[#This Row],[Massenanpassung]]-Meal2[[#This Row],[Menge '[g']]])/Meal2[[#This Row],[Menge '[g']]],1000000)</f>
        <v>1000000</v>
      </c>
      <c r="P14" s="6"/>
    </row>
    <row r="15" spans="1:16" x14ac:dyDescent="0.55000000000000004">
      <c r="B15" s="3"/>
      <c r="C15" s="3"/>
      <c r="D15" s="3">
        <f>IF(ROW()-5=$N$29,Meal2[[#Totals],[Massenanpassung]]*$N$31,Meal2[[#This Row],[Menge '[g']]]*$N$31)</f>
        <v>0</v>
      </c>
      <c r="E15" s="3">
        <f>Meal2[[#This Row],[Berechnete Menge '[g']]]*Input!$B$7</f>
        <v>0</v>
      </c>
      <c r="F15" s="18" t="str">
        <f>IFERROR(Meal2[[#This Row],[Gesamtmenge '[g']]]*$L$36,"-")</f>
        <v>-</v>
      </c>
      <c r="G15" s="5" t="str">
        <f>IFERROR(VLOOKUP(Meal2[[#This Row],[Zutat '[Name aus Tabelle']]],Tabelle2[],11,FALSE)*Meal2[[#This Row],[Berechnete Menge '[g']]],"")</f>
        <v/>
      </c>
      <c r="H15" s="3" t="str">
        <f>IFERROR(Meal2[[#This Row],[Berechnete Menge '[g']]]*Meal2[[#This Row],[Kaloriendichte '[kcal/g']]],"")</f>
        <v/>
      </c>
      <c r="I15" s="7" t="str">
        <f>IFERROR(Meal2[[#This Row],[Berechnete Menge '[g']]]*Meal2[[#This Row],[Proteindichte '[g/g']]],"")</f>
        <v/>
      </c>
      <c r="J15" s="2" t="str">
        <f>IFERROR(VLOOKUP(Meal2[[#This Row],[Zutat '[Name aus Tabelle']]],Tabelle2[],13,FALSE),"")</f>
        <v/>
      </c>
      <c r="K15" s="2" t="str">
        <f>IFERROR(VLOOKUP(Meal2[[#This Row],[Zutat '[Name aus Tabelle']]],Tabelle2[],14,FALSE),"")</f>
        <v/>
      </c>
      <c r="L15" s="3">
        <f>IFERROR(Meal2[[#This Row],[Kaloriendichte '[kcal/g']]]*Meal2[[#This Row],[Menge '[g']]],0)</f>
        <v>0</v>
      </c>
      <c r="M15" s="7">
        <f>IFERROR(Meal2[[#This Row],[Proteindichte '[g/g']]]*Meal2[[#This Row],[Menge '[g']]],0)</f>
        <v>0</v>
      </c>
      <c r="N15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5" s="7">
        <f>IFERROR(ABS(Meal2[[#This Row],[Massenanpassung]]-Meal2[[#This Row],[Menge '[g']]])/Meal2[[#This Row],[Menge '[g']]],1000000)</f>
        <v>1000000</v>
      </c>
      <c r="P15" s="6"/>
    </row>
    <row r="16" spans="1:16" x14ac:dyDescent="0.55000000000000004">
      <c r="B16" s="3"/>
      <c r="C16" s="3"/>
      <c r="D16" s="3">
        <f>IF(ROW()-5=$N$29,Meal2[[#Totals],[Massenanpassung]]*$N$31,Meal2[[#This Row],[Menge '[g']]]*$N$31)</f>
        <v>0</v>
      </c>
      <c r="E16" s="3">
        <f>Meal2[[#This Row],[Berechnete Menge '[g']]]*Input!$B$7</f>
        <v>0</v>
      </c>
      <c r="F16" s="18" t="str">
        <f>IFERROR(Meal2[[#This Row],[Gesamtmenge '[g']]]*$L$36,"-")</f>
        <v>-</v>
      </c>
      <c r="G16" s="5" t="str">
        <f>IFERROR(VLOOKUP(Meal2[[#This Row],[Zutat '[Name aus Tabelle']]],Tabelle2[],11,FALSE)*Meal2[[#This Row],[Berechnete Menge '[g']]],"")</f>
        <v/>
      </c>
      <c r="H16" s="3" t="str">
        <f>IFERROR(Meal2[[#This Row],[Berechnete Menge '[g']]]*Meal2[[#This Row],[Kaloriendichte '[kcal/g']]],"")</f>
        <v/>
      </c>
      <c r="I16" s="7" t="str">
        <f>IFERROR(Meal2[[#This Row],[Berechnete Menge '[g']]]*Meal2[[#This Row],[Proteindichte '[g/g']]],"")</f>
        <v/>
      </c>
      <c r="J16" s="2" t="str">
        <f>IFERROR(VLOOKUP(Meal2[[#This Row],[Zutat '[Name aus Tabelle']]],Tabelle2[],13,FALSE),"")</f>
        <v/>
      </c>
      <c r="K16" s="2" t="str">
        <f>IFERROR(VLOOKUP(Meal2[[#This Row],[Zutat '[Name aus Tabelle']]],Tabelle2[],14,FALSE),"")</f>
        <v/>
      </c>
      <c r="L16" s="3">
        <f>IFERROR(Meal2[[#This Row],[Kaloriendichte '[kcal/g']]]*Meal2[[#This Row],[Menge '[g']]],0)</f>
        <v>0</v>
      </c>
      <c r="M16" s="7">
        <f>IFERROR(Meal2[[#This Row],[Proteindichte '[g/g']]]*Meal2[[#This Row],[Menge '[g']]],0)</f>
        <v>0</v>
      </c>
      <c r="N16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6" s="7">
        <f>IFERROR(ABS(Meal2[[#This Row],[Massenanpassung]]-Meal2[[#This Row],[Menge '[g']]])/Meal2[[#This Row],[Menge '[g']]],1000000)</f>
        <v>1000000</v>
      </c>
      <c r="P16" s="6"/>
    </row>
    <row r="17" spans="1:16" x14ac:dyDescent="0.55000000000000004">
      <c r="B17" s="3"/>
      <c r="C17" s="3"/>
      <c r="D17" s="3">
        <f>IF(ROW()-5=$N$29,Meal2[[#Totals],[Massenanpassung]]*$N$31,Meal2[[#This Row],[Menge '[g']]]*$N$31)</f>
        <v>0</v>
      </c>
      <c r="E17" s="3">
        <f>Meal2[[#This Row],[Berechnete Menge '[g']]]*Input!$B$7</f>
        <v>0</v>
      </c>
      <c r="F17" s="18" t="str">
        <f>IFERROR(Meal2[[#This Row],[Gesamtmenge '[g']]]*$L$36,"-")</f>
        <v>-</v>
      </c>
      <c r="G17" s="5" t="str">
        <f>IFERROR(VLOOKUP(Meal2[[#This Row],[Zutat '[Name aus Tabelle']]],Tabelle2[],11,FALSE)*Meal2[[#This Row],[Berechnete Menge '[g']]],"")</f>
        <v/>
      </c>
      <c r="H17" s="3" t="str">
        <f>IFERROR(Meal2[[#This Row],[Berechnete Menge '[g']]]*Meal2[[#This Row],[Kaloriendichte '[kcal/g']]],"")</f>
        <v/>
      </c>
      <c r="I17" s="7" t="str">
        <f>IFERROR(Meal2[[#This Row],[Berechnete Menge '[g']]]*Meal2[[#This Row],[Proteindichte '[g/g']]],"")</f>
        <v/>
      </c>
      <c r="J17" s="2" t="str">
        <f>IFERROR(VLOOKUP(Meal2[[#This Row],[Zutat '[Name aus Tabelle']]],Tabelle2[],13,FALSE),"")</f>
        <v/>
      </c>
      <c r="K17" s="2" t="str">
        <f>IFERROR(VLOOKUP(Meal2[[#This Row],[Zutat '[Name aus Tabelle']]],Tabelle2[],14,FALSE),"")</f>
        <v/>
      </c>
      <c r="L17" s="3">
        <f>IFERROR(Meal2[[#This Row],[Kaloriendichte '[kcal/g']]]*Meal2[[#This Row],[Menge '[g']]],0)</f>
        <v>0</v>
      </c>
      <c r="M17" s="7">
        <f>IFERROR(Meal2[[#This Row],[Proteindichte '[g/g']]]*Meal2[[#This Row],[Menge '[g']]],0)</f>
        <v>0</v>
      </c>
      <c r="N17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7" s="7">
        <f>IFERROR(ABS(Meal2[[#This Row],[Massenanpassung]]-Meal2[[#This Row],[Menge '[g']]])/Meal2[[#This Row],[Menge '[g']]],1000000)</f>
        <v>1000000</v>
      </c>
      <c r="P17" s="6"/>
    </row>
    <row r="18" spans="1:16" x14ac:dyDescent="0.55000000000000004">
      <c r="B18" s="3"/>
      <c r="C18" s="3"/>
      <c r="D18" s="3">
        <f>IF(ROW()-5=$N$29,Meal2[[#Totals],[Massenanpassung]]*$N$31,Meal2[[#This Row],[Menge '[g']]]*$N$31)</f>
        <v>0</v>
      </c>
      <c r="E18" s="3">
        <f>Meal2[[#This Row],[Berechnete Menge '[g']]]*Input!$B$7</f>
        <v>0</v>
      </c>
      <c r="F18" s="18" t="str">
        <f>IFERROR(Meal2[[#This Row],[Gesamtmenge '[g']]]*$L$36,"-")</f>
        <v>-</v>
      </c>
      <c r="G18" s="5" t="str">
        <f>IFERROR(VLOOKUP(Meal2[[#This Row],[Zutat '[Name aus Tabelle']]],Tabelle2[],11,FALSE)*Meal2[[#This Row],[Berechnete Menge '[g']]],"")</f>
        <v/>
      </c>
      <c r="H18" s="3" t="str">
        <f>IFERROR(Meal2[[#This Row],[Berechnete Menge '[g']]]*Meal2[[#This Row],[Kaloriendichte '[kcal/g']]],"")</f>
        <v/>
      </c>
      <c r="I18" s="7" t="str">
        <f>IFERROR(Meal2[[#This Row],[Berechnete Menge '[g']]]*Meal2[[#This Row],[Proteindichte '[g/g']]],"")</f>
        <v/>
      </c>
      <c r="J18" s="2" t="str">
        <f>IFERROR(VLOOKUP(Meal2[[#This Row],[Zutat '[Name aus Tabelle']]],Tabelle2[],13,FALSE),"")</f>
        <v/>
      </c>
      <c r="K18" s="2" t="str">
        <f>IFERROR(VLOOKUP(Meal2[[#This Row],[Zutat '[Name aus Tabelle']]],Tabelle2[],14,FALSE),"")</f>
        <v/>
      </c>
      <c r="L18" s="3">
        <f>IFERROR(Meal2[[#This Row],[Kaloriendichte '[kcal/g']]]*Meal2[[#This Row],[Menge '[g']]],0)</f>
        <v>0</v>
      </c>
      <c r="M18" s="7">
        <f>IFERROR(Meal2[[#This Row],[Proteindichte '[g/g']]]*Meal2[[#This Row],[Menge '[g']]],0)</f>
        <v>0</v>
      </c>
      <c r="N18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8" s="7">
        <f>IFERROR(ABS(Meal2[[#This Row],[Massenanpassung]]-Meal2[[#This Row],[Menge '[g']]])/Meal2[[#This Row],[Menge '[g']]],1000000)</f>
        <v>1000000</v>
      </c>
      <c r="P18" s="6"/>
    </row>
    <row r="19" spans="1:16" x14ac:dyDescent="0.55000000000000004">
      <c r="B19" s="3"/>
      <c r="C19" s="3"/>
      <c r="D19" s="3">
        <f>IF(ROW()-5=$N$29,Meal2[[#Totals],[Massenanpassung]]*$N$31,Meal2[[#This Row],[Menge '[g']]]*$N$31)</f>
        <v>0</v>
      </c>
      <c r="E19" s="3">
        <f>Meal2[[#This Row],[Berechnete Menge '[g']]]*Input!$B$7</f>
        <v>0</v>
      </c>
      <c r="F19" s="18" t="str">
        <f>IFERROR(Meal2[[#This Row],[Gesamtmenge '[g']]]*$L$36,"-")</f>
        <v>-</v>
      </c>
      <c r="G19" s="5" t="str">
        <f>IFERROR(VLOOKUP(Meal2[[#This Row],[Zutat '[Name aus Tabelle']]],Tabelle2[],11,FALSE)*Meal2[[#This Row],[Berechnete Menge '[g']]],"")</f>
        <v/>
      </c>
      <c r="H19" s="3" t="str">
        <f>IFERROR(Meal2[[#This Row],[Berechnete Menge '[g']]]*Meal2[[#This Row],[Kaloriendichte '[kcal/g']]],"")</f>
        <v/>
      </c>
      <c r="I19" s="7" t="str">
        <f>IFERROR(Meal2[[#This Row],[Berechnete Menge '[g']]]*Meal2[[#This Row],[Proteindichte '[g/g']]],"")</f>
        <v/>
      </c>
      <c r="J19" s="2" t="str">
        <f>IFERROR(VLOOKUP(Meal2[[#This Row],[Zutat '[Name aus Tabelle']]],Tabelle2[],13,FALSE),"")</f>
        <v/>
      </c>
      <c r="K19" s="2" t="str">
        <f>IFERROR(VLOOKUP(Meal2[[#This Row],[Zutat '[Name aus Tabelle']]],Tabelle2[],14,FALSE),"")</f>
        <v/>
      </c>
      <c r="L19" s="3">
        <f>IFERROR(Meal2[[#This Row],[Kaloriendichte '[kcal/g']]]*Meal2[[#This Row],[Menge '[g']]],0)</f>
        <v>0</v>
      </c>
      <c r="M19" s="7">
        <f>IFERROR(Meal2[[#This Row],[Proteindichte '[g/g']]]*Meal2[[#This Row],[Menge '[g']]],0)</f>
        <v>0</v>
      </c>
      <c r="N19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19" s="7">
        <f>IFERROR(ABS(Meal2[[#This Row],[Massenanpassung]]-Meal2[[#This Row],[Menge '[g']]])/Meal2[[#This Row],[Menge '[g']]],1000000)</f>
        <v>1000000</v>
      </c>
      <c r="P19" s="6"/>
    </row>
    <row r="20" spans="1:16" x14ac:dyDescent="0.55000000000000004">
      <c r="B20" s="3"/>
      <c r="C20" s="3"/>
      <c r="D20" s="3">
        <f>IF(ROW()-5=$N$29,Meal2[[#Totals],[Massenanpassung]]*$N$31,Meal2[[#This Row],[Menge '[g']]]*$N$31)</f>
        <v>0</v>
      </c>
      <c r="E20" s="3">
        <f>Meal2[[#This Row],[Berechnete Menge '[g']]]*Input!$B$7</f>
        <v>0</v>
      </c>
      <c r="F20" s="18" t="str">
        <f>IFERROR(Meal2[[#This Row],[Gesamtmenge '[g']]]*$L$36,"-")</f>
        <v>-</v>
      </c>
      <c r="G20" s="5" t="str">
        <f>IFERROR(VLOOKUP(Meal2[[#This Row],[Zutat '[Name aus Tabelle']]],Tabelle2[],11,FALSE)*Meal2[[#This Row],[Berechnete Menge '[g']]],"")</f>
        <v/>
      </c>
      <c r="H20" s="3" t="str">
        <f>IFERROR(Meal2[[#This Row],[Berechnete Menge '[g']]]*Meal2[[#This Row],[Kaloriendichte '[kcal/g']]],"")</f>
        <v/>
      </c>
      <c r="I20" s="7" t="str">
        <f>IFERROR(Meal2[[#This Row],[Berechnete Menge '[g']]]*Meal2[[#This Row],[Proteindichte '[g/g']]],"")</f>
        <v/>
      </c>
      <c r="J20" s="2" t="str">
        <f>IFERROR(VLOOKUP(Meal2[[#This Row],[Zutat '[Name aus Tabelle']]],Tabelle2[],13,FALSE),"")</f>
        <v/>
      </c>
      <c r="K20" s="2" t="str">
        <f>IFERROR(VLOOKUP(Meal2[[#This Row],[Zutat '[Name aus Tabelle']]],Tabelle2[],14,FALSE),"")</f>
        <v/>
      </c>
      <c r="L20" s="3">
        <f>IFERROR(Meal2[[#This Row],[Kaloriendichte '[kcal/g']]]*Meal2[[#This Row],[Menge '[g']]],0)</f>
        <v>0</v>
      </c>
      <c r="M20" s="7">
        <f>IFERROR(Meal2[[#This Row],[Proteindichte '[g/g']]]*Meal2[[#This Row],[Menge '[g']]],0)</f>
        <v>0</v>
      </c>
      <c r="N20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0" s="7">
        <f>IFERROR(ABS(Meal2[[#This Row],[Massenanpassung]]-Meal2[[#This Row],[Menge '[g']]])/Meal2[[#This Row],[Menge '[g']]],1000000)</f>
        <v>1000000</v>
      </c>
      <c r="P20" s="6"/>
    </row>
    <row r="21" spans="1:16" x14ac:dyDescent="0.55000000000000004">
      <c r="B21" s="3"/>
      <c r="C21" s="3"/>
      <c r="D21" s="3">
        <f>IF(ROW()-5=$N$29,Meal2[[#Totals],[Massenanpassung]]*$N$31,Meal2[[#This Row],[Menge '[g']]]*$N$31)</f>
        <v>0</v>
      </c>
      <c r="E21" s="3">
        <f>Meal2[[#This Row],[Berechnete Menge '[g']]]*Input!$B$7</f>
        <v>0</v>
      </c>
      <c r="F21" s="18" t="str">
        <f>IFERROR(Meal2[[#This Row],[Gesamtmenge '[g']]]*$L$36,"-")</f>
        <v>-</v>
      </c>
      <c r="G21" s="5" t="str">
        <f>IFERROR(VLOOKUP(Meal2[[#This Row],[Zutat '[Name aus Tabelle']]],Tabelle2[],11,FALSE)*Meal2[[#This Row],[Berechnete Menge '[g']]],"")</f>
        <v/>
      </c>
      <c r="H21" s="3" t="str">
        <f>IFERROR(Meal2[[#This Row],[Berechnete Menge '[g']]]*Meal2[[#This Row],[Kaloriendichte '[kcal/g']]],"")</f>
        <v/>
      </c>
      <c r="I21" s="7" t="str">
        <f>IFERROR(Meal2[[#This Row],[Berechnete Menge '[g']]]*Meal2[[#This Row],[Proteindichte '[g/g']]],"")</f>
        <v/>
      </c>
      <c r="J21" s="2" t="str">
        <f>IFERROR(VLOOKUP(Meal2[[#This Row],[Zutat '[Name aus Tabelle']]],Tabelle2[],13,FALSE),"")</f>
        <v/>
      </c>
      <c r="K21" s="2" t="str">
        <f>IFERROR(VLOOKUP(Meal2[[#This Row],[Zutat '[Name aus Tabelle']]],Tabelle2[],14,FALSE),"")</f>
        <v/>
      </c>
      <c r="L21" s="3">
        <f>IFERROR(Meal2[[#This Row],[Kaloriendichte '[kcal/g']]]*Meal2[[#This Row],[Menge '[g']]],0)</f>
        <v>0</v>
      </c>
      <c r="M21" s="7">
        <f>IFERROR(Meal2[[#This Row],[Proteindichte '[g/g']]]*Meal2[[#This Row],[Menge '[g']]],0)</f>
        <v>0</v>
      </c>
      <c r="N21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1" s="7">
        <f>IFERROR(ABS(Meal2[[#This Row],[Massenanpassung]]-Meal2[[#This Row],[Menge '[g']]])/Meal2[[#This Row],[Menge '[g']]],1000000)</f>
        <v>1000000</v>
      </c>
      <c r="P21" s="6"/>
    </row>
    <row r="22" spans="1:16" x14ac:dyDescent="0.55000000000000004">
      <c r="B22" s="4"/>
      <c r="C22" s="4"/>
      <c r="D22" s="4">
        <f>IF(ROW()-5=$N$29,Meal2[[#Totals],[Massenanpassung]]*$N$31,Meal2[[#This Row],[Menge '[g']]]*$N$31)</f>
        <v>0</v>
      </c>
      <c r="E22" s="4">
        <f>Meal2[[#This Row],[Berechnete Menge '[g']]]*Input!$B$7</f>
        <v>0</v>
      </c>
      <c r="F22" s="19" t="str">
        <f>IFERROR(Meal2[[#This Row],[Gesamtmenge '[g']]]*$L$36,"-")</f>
        <v>-</v>
      </c>
      <c r="G22" s="9" t="str">
        <f>IFERROR(VLOOKUP(Meal2[[#This Row],[Zutat '[Name aus Tabelle']]],Tabelle2[],11,FALSE)*Meal2[[#This Row],[Berechnete Menge '[g']]],"")</f>
        <v/>
      </c>
      <c r="H22" s="4" t="str">
        <f>IFERROR(Meal2[[#This Row],[Berechnete Menge '[g']]]*Meal2[[#This Row],[Kaloriendichte '[kcal/g']]],"")</f>
        <v/>
      </c>
      <c r="I22" s="7" t="str">
        <f>IFERROR(Meal2[[#This Row],[Berechnete Menge '[g']]]*Meal2[[#This Row],[Proteindichte '[g/g']]],"")</f>
        <v/>
      </c>
      <c r="J22" s="2" t="str">
        <f>IFERROR(VLOOKUP(Meal2[[#This Row],[Zutat '[Name aus Tabelle']]],Tabelle2[],13,FALSE),"")</f>
        <v/>
      </c>
      <c r="K22" s="2" t="str">
        <f>IFERROR(VLOOKUP(Meal2[[#This Row],[Zutat '[Name aus Tabelle']]],Tabelle2[],14,FALSE),"")</f>
        <v/>
      </c>
      <c r="L22" s="4">
        <f>IFERROR(Meal2[[#This Row],[Kaloriendichte '[kcal/g']]]*Meal2[[#This Row],[Menge '[g']]],0)</f>
        <v>0</v>
      </c>
      <c r="M22" s="8">
        <f>IFERROR(Meal2[[#This Row],[Proteindichte '[g/g']]]*Meal2[[#This Row],[Menge '[g']]],0)</f>
        <v>0</v>
      </c>
      <c r="N22" s="8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2" s="8">
        <f>IFERROR(ABS(Meal2[[#This Row],[Massenanpassung]]-Meal2[[#This Row],[Menge '[g']]])/Meal2[[#This Row],[Menge '[g']]],1000000)</f>
        <v>1000000</v>
      </c>
      <c r="P22" s="6"/>
    </row>
    <row r="23" spans="1:16" x14ac:dyDescent="0.55000000000000004">
      <c r="B23" s="3"/>
      <c r="C23" s="3"/>
      <c r="D23" s="3">
        <f>IF(ROW()-5=$N$29,Meal2[[#Totals],[Massenanpassung]]*$N$31,Meal2[[#This Row],[Menge '[g']]]*$N$31)</f>
        <v>0</v>
      </c>
      <c r="E23" s="3">
        <f>Meal2[[#This Row],[Berechnete Menge '[g']]]*Input!$B$7</f>
        <v>0</v>
      </c>
      <c r="F23" s="18" t="str">
        <f>IFERROR(Meal2[[#This Row],[Gesamtmenge '[g']]]*$L$36,"-")</f>
        <v>-</v>
      </c>
      <c r="G23" s="5" t="str">
        <f>IFERROR(VLOOKUP(Meal2[[#This Row],[Zutat '[Name aus Tabelle']]],Tabelle2[],11,FALSE)*Meal2[[#This Row],[Berechnete Menge '[g']]],"")</f>
        <v/>
      </c>
      <c r="H23" s="3" t="str">
        <f>IFERROR(Meal2[[#This Row],[Berechnete Menge '[g']]]*Meal2[[#This Row],[Kaloriendichte '[kcal/g']]],"")</f>
        <v/>
      </c>
      <c r="I23" s="7" t="str">
        <f>IFERROR(Meal2[[#This Row],[Berechnete Menge '[g']]]*Meal2[[#This Row],[Proteindichte '[g/g']]],"")</f>
        <v/>
      </c>
      <c r="J23" s="2" t="str">
        <f>IFERROR(VLOOKUP(Meal2[[#This Row],[Zutat '[Name aus Tabelle']]],Tabelle2[],13,FALSE),"")</f>
        <v/>
      </c>
      <c r="K23" s="2" t="str">
        <f>IFERROR(VLOOKUP(Meal2[[#This Row],[Zutat '[Name aus Tabelle']]],Tabelle2[],14,FALSE),"")</f>
        <v/>
      </c>
      <c r="L23" s="3">
        <f>IFERROR(Meal2[[#This Row],[Kaloriendichte '[kcal/g']]]*Meal2[[#This Row],[Menge '[g']]],0)</f>
        <v>0</v>
      </c>
      <c r="M23" s="7">
        <f>IFERROR(Meal2[[#This Row],[Proteindichte '[g/g']]]*Meal2[[#This Row],[Menge '[g']]],0)</f>
        <v>0</v>
      </c>
      <c r="N23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3" s="7">
        <f>IFERROR(ABS(Meal2[[#This Row],[Massenanpassung]]-Meal2[[#This Row],[Menge '[g']]])/Meal2[[#This Row],[Menge '[g']]],1000000)</f>
        <v>1000000</v>
      </c>
      <c r="P23" s="6"/>
    </row>
    <row r="24" spans="1:16" x14ac:dyDescent="0.55000000000000004">
      <c r="B24" s="3"/>
      <c r="C24" s="3"/>
      <c r="D24" s="3">
        <f>IF(ROW()-5=$N$29,Meal2[[#Totals],[Massenanpassung]]*$N$31,Meal2[[#This Row],[Menge '[g']]]*$N$31)</f>
        <v>0</v>
      </c>
      <c r="E24" s="3">
        <f>Meal2[[#This Row],[Berechnete Menge '[g']]]*Input!$B$7</f>
        <v>0</v>
      </c>
      <c r="F24" s="18" t="str">
        <f>IFERROR(Meal2[[#This Row],[Gesamtmenge '[g']]]*$L$36,"-")</f>
        <v>-</v>
      </c>
      <c r="G24" s="5" t="str">
        <f>IFERROR(VLOOKUP(Meal2[[#This Row],[Zutat '[Name aus Tabelle']]],Tabelle2[],11,FALSE)*Meal2[[#This Row],[Berechnete Menge '[g']]],"")</f>
        <v/>
      </c>
      <c r="H24" s="3" t="str">
        <f>IFERROR(Meal2[[#This Row],[Berechnete Menge '[g']]]*Meal2[[#This Row],[Kaloriendichte '[kcal/g']]],"")</f>
        <v/>
      </c>
      <c r="I24" s="7" t="str">
        <f>IFERROR(Meal2[[#This Row],[Berechnete Menge '[g']]]*Meal2[[#This Row],[Proteindichte '[g/g']]],"")</f>
        <v/>
      </c>
      <c r="J24" s="2" t="str">
        <f>IFERROR(VLOOKUP(Meal2[[#This Row],[Zutat '[Name aus Tabelle']]],Tabelle2[],13,FALSE),"")</f>
        <v/>
      </c>
      <c r="K24" s="2" t="str">
        <f>IFERROR(VLOOKUP(Meal2[[#This Row],[Zutat '[Name aus Tabelle']]],Tabelle2[],14,FALSE),"")</f>
        <v/>
      </c>
      <c r="L24" s="3">
        <f>IFERROR(Meal2[[#This Row],[Kaloriendichte '[kcal/g']]]*Meal2[[#This Row],[Menge '[g']]],0)</f>
        <v>0</v>
      </c>
      <c r="M24" s="7">
        <f>IFERROR(Meal2[[#This Row],[Proteindichte '[g/g']]]*Meal2[[#This Row],[Menge '[g']]],0)</f>
        <v>0</v>
      </c>
      <c r="N24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4" s="7">
        <f>IFERROR(ABS(Meal2[[#This Row],[Massenanpassung]]-Meal2[[#This Row],[Menge '[g']]])/Meal2[[#This Row],[Menge '[g']]],1000000)</f>
        <v>1000000</v>
      </c>
      <c r="P24" s="6"/>
    </row>
    <row r="25" spans="1:16" x14ac:dyDescent="0.55000000000000004">
      <c r="B25" s="3"/>
      <c r="C25" s="3"/>
      <c r="D25" s="3">
        <f>IF(ROW()-5=$N$29,Meal2[[#Totals],[Massenanpassung]]*$N$31,Meal2[[#This Row],[Menge '[g']]]*$N$31)</f>
        <v>0</v>
      </c>
      <c r="E25" s="3">
        <f>Meal2[[#This Row],[Berechnete Menge '[g']]]*Input!$B$7</f>
        <v>0</v>
      </c>
      <c r="F25" s="18" t="str">
        <f>IFERROR(Meal2[[#This Row],[Gesamtmenge '[g']]]*$L$36,"-")</f>
        <v>-</v>
      </c>
      <c r="G25" s="5" t="str">
        <f>IFERROR(VLOOKUP(Meal2[[#This Row],[Zutat '[Name aus Tabelle']]],Tabelle2[],11,FALSE)*Meal2[[#This Row],[Berechnete Menge '[g']]],"")</f>
        <v/>
      </c>
      <c r="H25" s="3" t="str">
        <f>IFERROR(Meal2[[#This Row],[Berechnete Menge '[g']]]*Meal2[[#This Row],[Kaloriendichte '[kcal/g']]],"")</f>
        <v/>
      </c>
      <c r="I25" s="7" t="str">
        <f>IFERROR(Meal2[[#This Row],[Berechnete Menge '[g']]]*Meal2[[#This Row],[Proteindichte '[g/g']]],"")</f>
        <v/>
      </c>
      <c r="J25" s="2" t="str">
        <f>IFERROR(VLOOKUP(Meal2[[#This Row],[Zutat '[Name aus Tabelle']]],Tabelle2[],13,FALSE),"")</f>
        <v/>
      </c>
      <c r="K25" s="2" t="str">
        <f>IFERROR(VLOOKUP(Meal2[[#This Row],[Zutat '[Name aus Tabelle']]],Tabelle2[],14,FALSE),"")</f>
        <v/>
      </c>
      <c r="L25" s="3">
        <f>IFERROR(Meal2[[#This Row],[Kaloriendichte '[kcal/g']]]*Meal2[[#This Row],[Menge '[g']]],0)</f>
        <v>0</v>
      </c>
      <c r="M25" s="7">
        <f>IFERROR(Meal2[[#This Row],[Proteindichte '[g/g']]]*Meal2[[#This Row],[Menge '[g']]],0)</f>
        <v>0</v>
      </c>
      <c r="N25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5" s="7">
        <f>IFERROR(ABS(Meal2[[#This Row],[Massenanpassung]]-Meal2[[#This Row],[Menge '[g']]])/Meal2[[#This Row],[Menge '[g']]],1000000)</f>
        <v>1000000</v>
      </c>
      <c r="P25" s="6"/>
    </row>
    <row r="26" spans="1:16" x14ac:dyDescent="0.55000000000000004">
      <c r="B26" s="3"/>
      <c r="C26" s="3"/>
      <c r="D26" s="3">
        <f>IF(ROW()-5=$N$29,Meal2[[#Totals],[Massenanpassung]]*$N$31,Meal2[[#This Row],[Menge '[g']]]*$N$31)</f>
        <v>0</v>
      </c>
      <c r="E26" s="3">
        <f>Meal2[[#This Row],[Berechnete Menge '[g']]]*Input!$B$7</f>
        <v>0</v>
      </c>
      <c r="F26" s="18" t="str">
        <f>IFERROR(Meal2[[#This Row],[Gesamtmenge '[g']]]*$L$36,"-")</f>
        <v>-</v>
      </c>
      <c r="G26" s="5" t="str">
        <f>IFERROR(VLOOKUP(Meal2[[#This Row],[Zutat '[Name aus Tabelle']]],Tabelle2[],11,FALSE)*Meal2[[#This Row],[Berechnete Menge '[g']]],"")</f>
        <v/>
      </c>
      <c r="H26" s="3" t="str">
        <f>IFERROR(Meal2[[#This Row],[Berechnete Menge '[g']]]*Meal2[[#This Row],[Kaloriendichte '[kcal/g']]],"")</f>
        <v/>
      </c>
      <c r="I26" s="7" t="str">
        <f>IFERROR(Meal2[[#This Row],[Berechnete Menge '[g']]]*Meal2[[#This Row],[Proteindichte '[g/g']]],"")</f>
        <v/>
      </c>
      <c r="J26" s="2" t="str">
        <f>IFERROR(VLOOKUP(Meal2[[#This Row],[Zutat '[Name aus Tabelle']]],Tabelle2[],13,FALSE),"")</f>
        <v/>
      </c>
      <c r="K26" s="2" t="str">
        <f>IFERROR(VLOOKUP(Meal2[[#This Row],[Zutat '[Name aus Tabelle']]],Tabelle2[],14,FALSE),"")</f>
        <v/>
      </c>
      <c r="L26" s="3">
        <f>IFERROR(Meal2[[#This Row],[Kaloriendichte '[kcal/g']]]*Meal2[[#This Row],[Menge '[g']]],0)</f>
        <v>0</v>
      </c>
      <c r="M26" s="7">
        <f>IFERROR(Meal2[[#This Row],[Proteindichte '[g/g']]]*Meal2[[#This Row],[Menge '[g']]],0)</f>
        <v>0</v>
      </c>
      <c r="N26" s="7">
        <f>IFERROR(($N$28*(Meal2[[#Totals],[Kalorien vorher '[kcal']]]-Meal2[[#This Row],[Kalorien vorher '[kcal']]])-(Meal2[[#Totals],[Proteine vorher '[g']]]-Meal2[[#This Row],[Proteine vorher '[g']]]))/(Meal2[[#This Row],[Proteindichte '[g/g']]]-$N$28*Meal2[[#This Row],[Kaloriendichte '[kcal/g']]]),1000000)</f>
        <v>1000000</v>
      </c>
      <c r="O26" s="7">
        <f>IFERROR(ABS(Meal2[[#This Row],[Massenanpassung]]-Meal2[[#This Row],[Menge '[g']]])/Meal2[[#This Row],[Menge '[g']]],1000000)</f>
        <v>1000000</v>
      </c>
      <c r="P26" s="6"/>
    </row>
    <row r="27" spans="1:16" x14ac:dyDescent="0.55000000000000004">
      <c r="A27" t="s">
        <v>19</v>
      </c>
      <c r="G27" s="5">
        <f>SUBTOTAL(109,Meal2[Kosten '[€']])</f>
        <v>4.2046866062215731</v>
      </c>
      <c r="H27" s="3">
        <f>SUBTOTAL(109,Meal2[Kalorien '[kcal']])</f>
        <v>750</v>
      </c>
      <c r="I27" s="3">
        <f>SUBTOTAL(109,Meal2[Proteine '[g']])</f>
        <v>50</v>
      </c>
      <c r="L27" s="3">
        <f>SUBTOTAL(109,Meal2[Kalorien vorher '[kcal']])</f>
        <v>793.2</v>
      </c>
      <c r="M27" s="3">
        <f>SUBTOTAL(109,Meal2[Proteine vorher '[g']])</f>
        <v>54.210999999999999</v>
      </c>
      <c r="N27" cm="1">
        <f t="array" ref="N27">INDEX(Meal2[Massenanpassung],N29)</f>
        <v>169.28461538461551</v>
      </c>
      <c r="O27" s="7" cm="1">
        <f t="array" ref="O27">MIN(IF(Meal2[Massenanpassung]&lt;0,"",Meal2[Relative Abweichung]))</f>
        <v>0.15357692307692247</v>
      </c>
      <c r="P27" s="6"/>
    </row>
    <row r="28" spans="1:16" x14ac:dyDescent="0.55000000000000004">
      <c r="A28" s="14" t="s">
        <v>63</v>
      </c>
      <c r="B28" s="36"/>
      <c r="C28" s="36"/>
      <c r="D28" s="36"/>
      <c r="E28" s="36"/>
      <c r="F28" s="36"/>
      <c r="G28" s="36"/>
      <c r="H28" s="15">
        <f>'Meal 1'!H28-Meal2[[#Totals],[Kalorien '[kcal']]]</f>
        <v>1500</v>
      </c>
      <c r="I28" s="15">
        <f>'Meal 1'!I28-Meal2[[#Totals],[Proteine '[g']]]</f>
        <v>100</v>
      </c>
      <c r="J28" s="6"/>
      <c r="K28" s="6"/>
      <c r="L28" s="6"/>
      <c r="M28" s="22" t="s">
        <v>91</v>
      </c>
      <c r="N28" s="23">
        <f>K4/K3</f>
        <v>6.6666666666666666E-2</v>
      </c>
      <c r="O28" s="6"/>
      <c r="P28" s="6"/>
    </row>
    <row r="29" spans="1:16" x14ac:dyDescent="0.55000000000000004">
      <c r="A29" s="6"/>
      <c r="B29" s="10"/>
      <c r="C29" s="10"/>
      <c r="D29" s="11"/>
      <c r="E29" s="11"/>
      <c r="F29" s="11"/>
      <c r="G29" s="6"/>
      <c r="H29" s="6"/>
      <c r="I29" s="6"/>
      <c r="J29" s="6"/>
      <c r="K29" s="6"/>
      <c r="L29" s="6"/>
      <c r="M29" s="22" t="s">
        <v>92</v>
      </c>
      <c r="N29" s="24">
        <f>MATCH(Meal2[[#Totals],[Relative Abweichung]],Meal2[Relative Abweichung],0)</f>
        <v>1</v>
      </c>
      <c r="O29" s="6"/>
      <c r="P29" s="6"/>
    </row>
    <row r="30" spans="1:16" x14ac:dyDescent="0.55000000000000004">
      <c r="A30" s="6"/>
      <c r="B30" s="10"/>
      <c r="C30" s="10"/>
      <c r="D30" s="11"/>
      <c r="E30" s="11"/>
      <c r="F30" s="11"/>
      <c r="G30" s="6"/>
      <c r="H30" s="6"/>
      <c r="I30" s="6"/>
      <c r="J30" s="6"/>
      <c r="K30" s="6"/>
      <c r="L30" s="6"/>
      <c r="M30" s="22" t="s">
        <v>93</v>
      </c>
      <c r="N30" s="24" cm="1">
        <f t="array" ref="N30">Meal2[[#Totals],[Kalorien vorher '[kcal']]]-INDEX(Meal2[Kalorien vorher '[kcal']],N29)+Meal2[[#Totals],[Massenanpassung]]*INDEX(Meal2[Kaloriendichte '[kcal/g']],N29)</f>
        <v>721.01884615384643</v>
      </c>
      <c r="O30" s="6"/>
      <c r="P30" s="6"/>
    </row>
    <row r="31" spans="1:16" x14ac:dyDescent="0.55000000000000004">
      <c r="A31" s="6"/>
      <c r="B31" s="10"/>
      <c r="C31" s="10"/>
      <c r="D31" s="11"/>
      <c r="E31" s="11"/>
      <c r="F31" s="11"/>
      <c r="G31" s="6"/>
      <c r="H31" s="6"/>
      <c r="I31" s="6"/>
      <c r="J31" s="6"/>
      <c r="K31" s="6"/>
      <c r="L31" s="6"/>
      <c r="M31" s="22" t="s">
        <v>94</v>
      </c>
      <c r="N31" s="25">
        <f>K3/N30</f>
        <v>1.040194724452417</v>
      </c>
      <c r="O31" s="6"/>
      <c r="P31" s="6"/>
    </row>
    <row r="32" spans="1:16" x14ac:dyDescent="0.55000000000000004">
      <c r="L32" t="e">
        <f>MATCH(MAX(#REF!),#REF!,0)</f>
        <v>#REF!</v>
      </c>
    </row>
    <row r="33" spans="2:12" x14ac:dyDescent="0.55000000000000004">
      <c r="L33" t="e">
        <f>MAX(#REF!)</f>
        <v>#REF!</v>
      </c>
    </row>
    <row r="34" spans="2:12" x14ac:dyDescent="0.55000000000000004">
      <c r="L34" t="e" cm="1">
        <f t="array" ref="L34">INDEX(#REF!,L32)</f>
        <v>#REF!</v>
      </c>
    </row>
    <row r="35" spans="2:12" x14ac:dyDescent="0.55000000000000004">
      <c r="L35" s="3" t="e" cm="1">
        <f t="array" ref="L35">INDEX(#REF!,L32)</f>
        <v>#REF!</v>
      </c>
    </row>
    <row r="36" spans="2:12" x14ac:dyDescent="0.55000000000000004">
      <c r="L36" t="e">
        <f>L33*L34/L35</f>
        <v>#REF!</v>
      </c>
    </row>
    <row r="40" spans="2:12" x14ac:dyDescent="0.55000000000000004">
      <c r="B40" s="3"/>
    </row>
    <row r="41" spans="2:12" x14ac:dyDescent="0.55000000000000004">
      <c r="B41" s="3"/>
    </row>
    <row r="42" spans="2:12" x14ac:dyDescent="0.55000000000000004">
      <c r="B42" s="3"/>
    </row>
    <row r="43" spans="2:12" x14ac:dyDescent="0.55000000000000004">
      <c r="B43" s="3"/>
    </row>
  </sheetData>
  <mergeCells count="4">
    <mergeCell ref="B3:J3"/>
    <mergeCell ref="B4:J4"/>
    <mergeCell ref="B28:G28"/>
    <mergeCell ref="A1:O2"/>
  </mergeCells>
  <conditionalFormatting sqref="G6:G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E3BD-763A-493C-B00F-5D830ACC91DC}">
  <dimension ref="A1:P43"/>
  <sheetViews>
    <sheetView zoomScale="72" zoomScaleNormal="90" workbookViewId="0">
      <selection activeCell="N5" sqref="N5"/>
    </sheetView>
  </sheetViews>
  <sheetFormatPr baseColWidth="10" defaultColWidth="10.734375" defaultRowHeight="14.4" outlineLevelCol="1" x14ac:dyDescent="0.55000000000000004"/>
  <cols>
    <col min="1" max="1" width="23.7890625" customWidth="1"/>
    <col min="2" max="2" width="11.15625" customWidth="1"/>
    <col min="3" max="3" width="3.1015625" customWidth="1"/>
    <col min="4" max="6" width="21.1015625" customWidth="1"/>
    <col min="7" max="7" width="11.15625" customWidth="1"/>
    <col min="8" max="8" width="14.9453125" customWidth="1"/>
    <col min="9" max="9" width="12.7890625" customWidth="1"/>
    <col min="10" max="10" width="21.5234375" customWidth="1"/>
    <col min="11" max="11" width="18.41796875" customWidth="1"/>
    <col min="12" max="12" width="20.83984375" customWidth="1" outlineLevel="1"/>
    <col min="13" max="13" width="18.68359375" customWidth="1" outlineLevel="1"/>
    <col min="14" max="15" width="10.734375" customWidth="1" outlineLevel="1"/>
  </cols>
  <sheetData>
    <row r="1" spans="1:16" ht="14.5" customHeight="1" x14ac:dyDescent="0.55000000000000004">
      <c r="A1" s="34" t="s">
        <v>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6"/>
    </row>
    <row r="2" spans="1:16" ht="14.65" customHeight="1" x14ac:dyDescent="0.5500000000000000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6"/>
    </row>
    <row r="3" spans="1:16" x14ac:dyDescent="0.55000000000000004">
      <c r="A3" s="14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16">
        <f>IF(ISBLANK(B3),'Meal 2'!H28/(Input!B6-2),B3)</f>
        <v>750</v>
      </c>
      <c r="L3" s="6"/>
      <c r="M3" s="6"/>
      <c r="N3" s="6"/>
      <c r="O3" s="6"/>
      <c r="P3" s="6"/>
    </row>
    <row r="4" spans="1:16" x14ac:dyDescent="0.55000000000000004">
      <c r="A4" s="14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17">
        <f>IF(ISBLANK(B4),'Meal 2'!I28/(Input!B6-2),B4)</f>
        <v>50</v>
      </c>
      <c r="L4" s="6"/>
      <c r="M4" s="6"/>
      <c r="N4" s="6"/>
      <c r="O4" s="6"/>
      <c r="P4" s="6"/>
    </row>
    <row r="5" spans="1:16" x14ac:dyDescent="0.55000000000000004">
      <c r="A5" t="s">
        <v>16</v>
      </c>
      <c r="B5" s="3" t="s">
        <v>2</v>
      </c>
      <c r="C5" s="3" t="s">
        <v>59</v>
      </c>
      <c r="D5" t="s">
        <v>21</v>
      </c>
      <c r="E5" t="s">
        <v>81</v>
      </c>
      <c r="F5" t="s">
        <v>83</v>
      </c>
      <c r="G5" t="s">
        <v>18</v>
      </c>
      <c r="H5" t="s">
        <v>15</v>
      </c>
      <c r="I5" t="s">
        <v>17</v>
      </c>
      <c r="J5" s="3" t="s">
        <v>24</v>
      </c>
      <c r="K5" s="3" t="s">
        <v>25</v>
      </c>
      <c r="L5" s="2" t="s">
        <v>28</v>
      </c>
      <c r="M5" t="s">
        <v>27</v>
      </c>
      <c r="N5" t="s">
        <v>89</v>
      </c>
      <c r="O5" t="s">
        <v>90</v>
      </c>
      <c r="P5" s="6"/>
    </row>
    <row r="6" spans="1:16" x14ac:dyDescent="0.55000000000000004">
      <c r="A6" s="20" t="s">
        <v>49</v>
      </c>
      <c r="B6" s="26">
        <v>525</v>
      </c>
      <c r="C6" s="3"/>
      <c r="D6" s="3">
        <f>IF(ROW()-5=$N$29,Meal3[[#Totals],[Massenanpassung]]*$N$31,Meal3[[#This Row],[Menge '[g']]]*$N$31)</f>
        <v>174.60079653420229</v>
      </c>
      <c r="E6" s="3">
        <f>Meal3[[#This Row],[Berechnete Menge '[g']]]*Input!$B$7</f>
        <v>698.40318613680915</v>
      </c>
      <c r="F6" s="18">
        <f>IFERROR(Meal3[[#This Row],[Gesamtmenge '[g']]]*$L$36,"-")</f>
        <v>0</v>
      </c>
      <c r="G6" s="5">
        <f>IFERROR(VLOOKUP(Meal3[[#This Row],[Zutat '[Name aus Tabelle']]],Tabelle2[],11,FALSE)*Meal3[[#This Row],[Berechnete Menge '[g']]],"")</f>
        <v>2.4394225572921404</v>
      </c>
      <c r="H6" s="3">
        <f>IFERROR(Meal3[[#This Row],[Berechnete Menge '[g']]]*Meal3[[#This Row],[Kaloriendichte '[kcal/g']]],"")</f>
        <v>169.36277263817621</v>
      </c>
      <c r="I6" s="7">
        <f>IFERROR(Meal3[[#This Row],[Berechnete Menge '[g']]]*Meal3[[#This Row],[Proteindichte '[g/g']]],"")</f>
        <v>34.920159306840461</v>
      </c>
      <c r="J6" s="2">
        <f>IFERROR(VLOOKUP(Meal3[[#This Row],[Zutat '[Name aus Tabelle']]],Tabelle2[],13,FALSE),"")</f>
        <v>0.97</v>
      </c>
      <c r="K6" s="2">
        <f>IFERROR(VLOOKUP(Meal3[[#This Row],[Zutat '[Name aus Tabelle']]],Tabelle2[],14,FALSE),"")</f>
        <v>0.2</v>
      </c>
      <c r="L6" s="3">
        <f>IFERROR(Meal3[[#This Row],[Kaloriendichte '[kcal/g']]]*Meal3[[#This Row],[Menge '[g']]],0)</f>
        <v>509.25</v>
      </c>
      <c r="M6" s="7">
        <f>IFERROR(Meal3[[#This Row],[Proteindichte '[g/g']]]*Meal3[[#This Row],[Menge '[g']]],0)</f>
        <v>105</v>
      </c>
      <c r="N6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551.13300492610847</v>
      </c>
      <c r="O6" s="7">
        <f>IFERROR(ABS(Meal3[[#This Row],[Massenanpassung]]-Meal3[[#This Row],[Menge '[g']]])/Meal3[[#This Row],[Menge '[g']]],1000000)</f>
        <v>4.977715224020661E-2</v>
      </c>
      <c r="P6" s="6"/>
    </row>
    <row r="7" spans="1:16" x14ac:dyDescent="0.55000000000000004">
      <c r="A7" s="21" t="s">
        <v>84</v>
      </c>
      <c r="B7" s="27">
        <v>300</v>
      </c>
      <c r="C7" s="7"/>
      <c r="D7" s="3">
        <f>IF(ROW()-5=$N$29,Meal3[[#Totals],[Massenanpassung]]*$N$31,Meal3[[#This Row],[Menge '[g']]]*$N$31)</f>
        <v>95.041012772013929</v>
      </c>
      <c r="E7" s="3">
        <f>Meal3[[#This Row],[Berechnete Menge '[g']]]*Input!$B$7</f>
        <v>380.16405108805571</v>
      </c>
      <c r="F7" s="18">
        <f>IFERROR(Meal3[[#This Row],[Gesamtmenge '[g']]]*$L$36,"-")</f>
        <v>0</v>
      </c>
      <c r="G7" s="5">
        <f>IFERROR(VLOOKUP(Meal3[[#This Row],[Zutat '[Name aus Tabelle']]],Tabelle2[],11,FALSE)*Meal3[[#This Row],[Berechnete Menge '[g']]],"")</f>
        <v>0.25566032435671748</v>
      </c>
      <c r="H7" s="3">
        <f>IFERROR(Meal3[[#This Row],[Berechnete Menge '[g']]]*Meal3[[#This Row],[Kaloriendichte '[kcal/g']]],"")</f>
        <v>334.54436495748905</v>
      </c>
      <c r="I7" s="7">
        <f>IFERROR(Meal3[[#This Row],[Berechnete Menge '[g']]]*Meal3[[#This Row],[Proteindichte '[g/g']]],"")</f>
        <v>7.9834450728491708</v>
      </c>
      <c r="J7" s="2">
        <f>IFERROR(VLOOKUP(Meal3[[#This Row],[Zutat '[Name aus Tabelle']]],Tabelle2[],13,FALSE),"")</f>
        <v>3.52</v>
      </c>
      <c r="K7" s="2">
        <f>IFERROR(VLOOKUP(Meal3[[#This Row],[Zutat '[Name aus Tabelle']]],Tabelle2[],14,FALSE),"")</f>
        <v>8.4000000000000005E-2</v>
      </c>
      <c r="L7" s="3">
        <f>IFERROR(Meal3[[#This Row],[Kaloriendichte '[kcal/g']]]*Meal3[[#This Row],[Menge '[g']]],0)</f>
        <v>1056</v>
      </c>
      <c r="M7" s="7">
        <f>IFERROR(Meal3[[#This Row],[Proteindichte '[g/g']]]*Meal3[[#This Row],[Menge '[g']]],0)</f>
        <v>25.200000000000003</v>
      </c>
      <c r="N7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276.52654867256621</v>
      </c>
      <c r="O7" s="7">
        <f>IFERROR(ABS(Meal3[[#This Row],[Massenanpassung]]-Meal3[[#This Row],[Menge '[g']]])/Meal3[[#This Row],[Menge '[g']]],1000000)</f>
        <v>7.824483775811264E-2</v>
      </c>
      <c r="P7" s="6"/>
    </row>
    <row r="8" spans="1:16" x14ac:dyDescent="0.55000000000000004">
      <c r="A8" s="20" t="s">
        <v>67</v>
      </c>
      <c r="B8" s="26">
        <v>400</v>
      </c>
      <c r="C8" s="3"/>
      <c r="D8" s="3">
        <f>IF(ROW()-5=$N$29,Meal3[[#Totals],[Massenanpassung]]*$N$31,Meal3[[#This Row],[Menge '[g']]]*$N$31)</f>
        <v>126.72135036268524</v>
      </c>
      <c r="E8" s="3">
        <f>Meal3[[#This Row],[Berechnete Menge '[g']]]*Input!$B$7</f>
        <v>506.88540145074097</v>
      </c>
      <c r="F8" s="18">
        <f>IFERROR(Meal3[[#This Row],[Gesamtmenge '[g']]]*$L$36,"-")</f>
        <v>0</v>
      </c>
      <c r="G8" s="5">
        <f>IFERROR(VLOOKUP(Meal3[[#This Row],[Zutat '[Name aus Tabelle']]],Tabelle2[],11,FALSE)*Meal3[[#This Row],[Berechnete Menge '[g']]],"")</f>
        <v>0.37762962408080203</v>
      </c>
      <c r="H8" s="3">
        <f>IFERROR(Meal3[[#This Row],[Berechnete Menge '[g']]]*Meal3[[#This Row],[Kaloriendichte '[kcal/g']]],"")</f>
        <v>54.490180655954653</v>
      </c>
      <c r="I8" s="7">
        <f>IFERROR(Meal3[[#This Row],[Berechnete Menge '[g']]]*Meal3[[#This Row],[Proteindichte '[g/g']]],"")</f>
        <v>5.0688540145074095</v>
      </c>
      <c r="J8" s="2">
        <f>IFERROR(VLOOKUP(Meal3[[#This Row],[Zutat '[Name aus Tabelle']]],Tabelle2[],13,FALSE),"")</f>
        <v>0.43</v>
      </c>
      <c r="K8" s="2">
        <f>IFERROR(VLOOKUP(Meal3[[#This Row],[Zutat '[Name aus Tabelle']]],Tabelle2[],14,FALSE),"")</f>
        <v>0.04</v>
      </c>
      <c r="L8" s="3">
        <f>IFERROR(Meal3[[#This Row],[Kaloriendichte '[kcal/g']]]*Meal3[[#This Row],[Menge '[g']]],0)</f>
        <v>172</v>
      </c>
      <c r="M8" s="7">
        <f>IFERROR(Meal3[[#This Row],[Proteindichte '[g/g']]]*Meal3[[#This Row],[Menge '[g']]],0)</f>
        <v>16</v>
      </c>
      <c r="N8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712.05882352941364</v>
      </c>
      <c r="O8" s="7">
        <f>IFERROR(ABS(Meal3[[#This Row],[Massenanpassung]]-Meal3[[#This Row],[Menge '[g']]])/Meal3[[#This Row],[Menge '[g']]],1000000)</f>
        <v>0.78014705882353408</v>
      </c>
      <c r="P8" s="6"/>
    </row>
    <row r="9" spans="1:16" x14ac:dyDescent="0.55000000000000004">
      <c r="A9" s="21" t="s">
        <v>68</v>
      </c>
      <c r="B9" s="27">
        <v>320</v>
      </c>
      <c r="C9" s="3"/>
      <c r="D9" s="3">
        <f>IF(ROW()-5=$N$29,Meal3[[#Totals],[Massenanpassung]]*$N$31,Meal3[[#This Row],[Menge '[g']]]*$N$31)</f>
        <v>101.37708029014819</v>
      </c>
      <c r="E9" s="3">
        <f>Meal3[[#This Row],[Berechnete Menge '[g']]]*Input!$B$7</f>
        <v>405.50832116059274</v>
      </c>
      <c r="F9" s="18">
        <f>IFERROR(Meal3[[#This Row],[Gesamtmenge '[g']]]*$L$36,"-")</f>
        <v>0</v>
      </c>
      <c r="G9" s="5">
        <f>IFERROR(VLOOKUP(Meal3[[#This Row],[Zutat '[Name aus Tabelle']]],Tabelle2[],11,FALSE)*Meal3[[#This Row],[Berechnete Menge '[g']]],"")</f>
        <v>0.25090827371811675</v>
      </c>
      <c r="H9" s="3">
        <f>IFERROR(Meal3[[#This Row],[Berechnete Menge '[g']]]*Meal3[[#This Row],[Kaloriendichte '[kcal/g']]],"")</f>
        <v>191.60268174838006</v>
      </c>
      <c r="I9" s="7">
        <f>IFERROR(Meal3[[#This Row],[Berechnete Menge '[g']]]*Meal3[[#This Row],[Proteindichte '[g/g']]],"")</f>
        <v>2.0275416058029636</v>
      </c>
      <c r="J9" s="2">
        <f>IFERROR(VLOOKUP(Meal3[[#This Row],[Zutat '[Name aus Tabelle']]],Tabelle2[],13,FALSE),"")</f>
        <v>1.89</v>
      </c>
      <c r="K9" s="2">
        <f>IFERROR(VLOOKUP(Meal3[[#This Row],[Zutat '[Name aus Tabelle']]],Tabelle2[],14,FALSE),"")</f>
        <v>0.02</v>
      </c>
      <c r="L9" s="3">
        <f>IFERROR(Meal3[[#This Row],[Kaloriendichte '[kcal/g']]]*Meal3[[#This Row],[Menge '[g']]],0)</f>
        <v>604.79999999999995</v>
      </c>
      <c r="M9" s="7">
        <f>IFERROR(Meal3[[#This Row],[Proteindichte '[g/g']]]*Meal3[[#This Row],[Menge '[g']]],0)</f>
        <v>6.4</v>
      </c>
      <c r="N9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286.63522012578596</v>
      </c>
      <c r="O9" s="7">
        <f>IFERROR(ABS(Meal3[[#This Row],[Massenanpassung]]-Meal3[[#This Row],[Menge '[g']]])/Meal3[[#This Row],[Menge '[g']]],1000000)</f>
        <v>0.10426493710691886</v>
      </c>
      <c r="P9" s="6"/>
    </row>
    <row r="10" spans="1:16" x14ac:dyDescent="0.55000000000000004">
      <c r="B10" s="3"/>
      <c r="C10" s="3"/>
      <c r="D10" s="3">
        <f>IF(ROW()-5=$N$29,Meal3[[#Totals],[Massenanpassung]]*$N$31,Meal3[[#This Row],[Menge '[g']]]*$N$31)</f>
        <v>0</v>
      </c>
      <c r="E10" s="3">
        <f>Meal3[[#This Row],[Berechnete Menge '[g']]]*Input!$B$7</f>
        <v>0</v>
      </c>
      <c r="F10" s="18">
        <f>IFERROR(Meal3[[#This Row],[Gesamtmenge '[g']]]*$L$36,"-")</f>
        <v>0</v>
      </c>
      <c r="G10" s="5" t="str">
        <f>IFERROR(VLOOKUP(Meal3[[#This Row],[Zutat '[Name aus Tabelle']]],Tabelle2[],11,FALSE)*Meal3[[#This Row],[Berechnete Menge '[g']]],"")</f>
        <v/>
      </c>
      <c r="H10" s="3" t="str">
        <f>IFERROR(Meal3[[#This Row],[Berechnete Menge '[g']]]*Meal3[[#This Row],[Kaloriendichte '[kcal/g']]],"")</f>
        <v/>
      </c>
      <c r="I10" s="7" t="str">
        <f>IFERROR(Meal3[[#This Row],[Berechnete Menge '[g']]]*Meal3[[#This Row],[Proteindichte '[g/g']]],"")</f>
        <v/>
      </c>
      <c r="J10" s="2" t="str">
        <f>IFERROR(VLOOKUP(Meal3[[#This Row],[Zutat '[Name aus Tabelle']]],Tabelle2[],13,FALSE),"")</f>
        <v/>
      </c>
      <c r="K10" s="2" t="str">
        <f>IFERROR(VLOOKUP(Meal3[[#This Row],[Zutat '[Name aus Tabelle']]],Tabelle2[],14,FALSE),"")</f>
        <v/>
      </c>
      <c r="L10" s="3">
        <f>IFERROR(Meal3[[#This Row],[Kaloriendichte '[kcal/g']]]*Meal3[[#This Row],[Menge '[g']]],0)</f>
        <v>0</v>
      </c>
      <c r="M10" s="7">
        <f>IFERROR(Meal3[[#This Row],[Proteindichte '[g/g']]]*Meal3[[#This Row],[Menge '[g']]],0)</f>
        <v>0</v>
      </c>
      <c r="N10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0" s="7">
        <f>IFERROR(ABS(Meal3[[#This Row],[Massenanpassung]]-Meal3[[#This Row],[Menge '[g']]])/Meal3[[#This Row],[Menge '[g']]],1000000)</f>
        <v>1000000</v>
      </c>
      <c r="P10" s="6"/>
    </row>
    <row r="11" spans="1:16" x14ac:dyDescent="0.55000000000000004">
      <c r="B11" s="3"/>
      <c r="C11" s="3"/>
      <c r="D11" s="3">
        <f>IF(ROW()-5=$N$29,Meal3[[#Totals],[Massenanpassung]]*$N$31,Meal3[[#This Row],[Menge '[g']]]*$N$31)</f>
        <v>0</v>
      </c>
      <c r="E11" s="3">
        <f>Meal3[[#This Row],[Berechnete Menge '[g']]]*Input!$B$7</f>
        <v>0</v>
      </c>
      <c r="F11" s="18">
        <f>IFERROR(Meal3[[#This Row],[Gesamtmenge '[g']]]*$L$36,"-")</f>
        <v>0</v>
      </c>
      <c r="G11" s="5" t="str">
        <f>IFERROR(VLOOKUP(Meal3[[#This Row],[Zutat '[Name aus Tabelle']]],Tabelle2[],11,FALSE)*Meal3[[#This Row],[Berechnete Menge '[g']]],"")</f>
        <v/>
      </c>
      <c r="H11" s="3" t="str">
        <f>IFERROR(Meal3[[#This Row],[Berechnete Menge '[g']]]*Meal3[[#This Row],[Kaloriendichte '[kcal/g']]],"")</f>
        <v/>
      </c>
      <c r="I11" s="7" t="str">
        <f>IFERROR(Meal3[[#This Row],[Berechnete Menge '[g']]]*Meal3[[#This Row],[Proteindichte '[g/g']]],"")</f>
        <v/>
      </c>
      <c r="J11" s="2" t="str">
        <f>IFERROR(VLOOKUP(Meal3[[#This Row],[Zutat '[Name aus Tabelle']]],Tabelle2[],13,FALSE),"")</f>
        <v/>
      </c>
      <c r="K11" s="2" t="str">
        <f>IFERROR(VLOOKUP(Meal3[[#This Row],[Zutat '[Name aus Tabelle']]],Tabelle2[],14,FALSE),"")</f>
        <v/>
      </c>
      <c r="L11" s="3">
        <f>IFERROR(Meal3[[#This Row],[Kaloriendichte '[kcal/g']]]*Meal3[[#This Row],[Menge '[g']]],0)</f>
        <v>0</v>
      </c>
      <c r="M11" s="7">
        <f>IFERROR(Meal3[[#This Row],[Proteindichte '[g/g']]]*Meal3[[#This Row],[Menge '[g']]],0)</f>
        <v>0</v>
      </c>
      <c r="N11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1" s="7">
        <f>IFERROR(ABS(Meal3[[#This Row],[Massenanpassung]]-Meal3[[#This Row],[Menge '[g']]])/Meal3[[#This Row],[Menge '[g']]],1000000)</f>
        <v>1000000</v>
      </c>
      <c r="P11" s="6"/>
    </row>
    <row r="12" spans="1:16" x14ac:dyDescent="0.55000000000000004">
      <c r="B12" s="3"/>
      <c r="C12" s="3"/>
      <c r="D12" s="3">
        <f>IF(ROW()-5=$N$29,Meal3[[#Totals],[Massenanpassung]]*$N$31,Meal3[[#This Row],[Menge '[g']]]*$N$31)</f>
        <v>0</v>
      </c>
      <c r="E12" s="3">
        <f>Meal3[[#This Row],[Berechnete Menge '[g']]]*Input!$B$7</f>
        <v>0</v>
      </c>
      <c r="F12" s="18">
        <f>IFERROR(Meal3[[#This Row],[Gesamtmenge '[g']]]*$L$36,"-")</f>
        <v>0</v>
      </c>
      <c r="G12" s="5" t="str">
        <f>IFERROR(VLOOKUP(Meal3[[#This Row],[Zutat '[Name aus Tabelle']]],Tabelle2[],11,FALSE)*Meal3[[#This Row],[Berechnete Menge '[g']]],"")</f>
        <v/>
      </c>
      <c r="H12" s="3" t="str">
        <f>IFERROR(Meal3[[#This Row],[Berechnete Menge '[g']]]*Meal3[[#This Row],[Kaloriendichte '[kcal/g']]],"")</f>
        <v/>
      </c>
      <c r="I12" s="7" t="str">
        <f>IFERROR(Meal3[[#This Row],[Berechnete Menge '[g']]]*Meal3[[#This Row],[Proteindichte '[g/g']]],"")</f>
        <v/>
      </c>
      <c r="J12" s="2" t="str">
        <f>IFERROR(VLOOKUP(Meal3[[#This Row],[Zutat '[Name aus Tabelle']]],Tabelle2[],13,FALSE),"")</f>
        <v/>
      </c>
      <c r="K12" s="2" t="str">
        <f>IFERROR(VLOOKUP(Meal3[[#This Row],[Zutat '[Name aus Tabelle']]],Tabelle2[],14,FALSE),"")</f>
        <v/>
      </c>
      <c r="L12" s="3">
        <f>IFERROR(Meal3[[#This Row],[Kaloriendichte '[kcal/g']]]*Meal3[[#This Row],[Menge '[g']]],0)</f>
        <v>0</v>
      </c>
      <c r="M12" s="7">
        <f>IFERROR(Meal3[[#This Row],[Proteindichte '[g/g']]]*Meal3[[#This Row],[Menge '[g']]],0)</f>
        <v>0</v>
      </c>
      <c r="N12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2" s="7">
        <f>IFERROR(ABS(Meal3[[#This Row],[Massenanpassung]]-Meal3[[#This Row],[Menge '[g']]])/Meal3[[#This Row],[Menge '[g']]],1000000)</f>
        <v>1000000</v>
      </c>
      <c r="P12" s="6"/>
    </row>
    <row r="13" spans="1:16" x14ac:dyDescent="0.55000000000000004">
      <c r="B13" s="3"/>
      <c r="C13" s="3"/>
      <c r="D13" s="3">
        <f>IF(ROW()-5=$N$29,Meal3[[#Totals],[Massenanpassung]]*$N$31,Meal3[[#This Row],[Menge '[g']]]*$N$31)</f>
        <v>0</v>
      </c>
      <c r="E13" s="3">
        <f>Meal3[[#This Row],[Berechnete Menge '[g']]]*Input!$B$7</f>
        <v>0</v>
      </c>
      <c r="F13" s="18">
        <f>IFERROR(Meal3[[#This Row],[Gesamtmenge '[g']]]*$L$36,"-")</f>
        <v>0</v>
      </c>
      <c r="G13" s="5" t="str">
        <f>IFERROR(VLOOKUP(Meal3[[#This Row],[Zutat '[Name aus Tabelle']]],Tabelle2[],11,FALSE)*Meal3[[#This Row],[Berechnete Menge '[g']]],"")</f>
        <v/>
      </c>
      <c r="H13" s="3" t="str">
        <f>IFERROR(Meal3[[#This Row],[Berechnete Menge '[g']]]*Meal3[[#This Row],[Kaloriendichte '[kcal/g']]],"")</f>
        <v/>
      </c>
      <c r="I13" s="7" t="str">
        <f>IFERROR(Meal3[[#This Row],[Berechnete Menge '[g']]]*Meal3[[#This Row],[Proteindichte '[g/g']]],"")</f>
        <v/>
      </c>
      <c r="J13" s="2" t="str">
        <f>IFERROR(VLOOKUP(Meal3[[#This Row],[Zutat '[Name aus Tabelle']]],Tabelle2[],13,FALSE),"")</f>
        <v/>
      </c>
      <c r="K13" s="2" t="str">
        <f>IFERROR(VLOOKUP(Meal3[[#This Row],[Zutat '[Name aus Tabelle']]],Tabelle2[],14,FALSE),"")</f>
        <v/>
      </c>
      <c r="L13" s="3">
        <f>IFERROR(Meal3[[#This Row],[Kaloriendichte '[kcal/g']]]*Meal3[[#This Row],[Menge '[g']]],0)</f>
        <v>0</v>
      </c>
      <c r="M13" s="7">
        <f>IFERROR(Meal3[[#This Row],[Proteindichte '[g/g']]]*Meal3[[#This Row],[Menge '[g']]],0)</f>
        <v>0</v>
      </c>
      <c r="N13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3" s="7">
        <f>IFERROR(ABS(Meal3[[#This Row],[Massenanpassung]]-Meal3[[#This Row],[Menge '[g']]])/Meal3[[#This Row],[Menge '[g']]],1000000)</f>
        <v>1000000</v>
      </c>
      <c r="P13" s="6"/>
    </row>
    <row r="14" spans="1:16" x14ac:dyDescent="0.55000000000000004">
      <c r="B14" s="3"/>
      <c r="C14" s="3"/>
      <c r="D14" s="3">
        <f>IF(ROW()-5=$N$29,Meal3[[#Totals],[Massenanpassung]]*$N$31,Meal3[[#This Row],[Menge '[g']]]*$N$31)</f>
        <v>0</v>
      </c>
      <c r="E14" s="3">
        <f>Meal3[[#This Row],[Berechnete Menge '[g']]]*Input!$B$7</f>
        <v>0</v>
      </c>
      <c r="F14" s="18">
        <f>IFERROR(Meal3[[#This Row],[Gesamtmenge '[g']]]*$L$36,"-")</f>
        <v>0</v>
      </c>
      <c r="G14" s="5" t="str">
        <f>IFERROR(VLOOKUP(Meal3[[#This Row],[Zutat '[Name aus Tabelle']]],Tabelle2[],11,FALSE)*Meal3[[#This Row],[Berechnete Menge '[g']]],"")</f>
        <v/>
      </c>
      <c r="H14" s="3" t="str">
        <f>IFERROR(Meal3[[#This Row],[Berechnete Menge '[g']]]*Meal3[[#This Row],[Kaloriendichte '[kcal/g']]],"")</f>
        <v/>
      </c>
      <c r="I14" s="7" t="str">
        <f>IFERROR(Meal3[[#This Row],[Berechnete Menge '[g']]]*Meal3[[#This Row],[Proteindichte '[g/g']]],"")</f>
        <v/>
      </c>
      <c r="J14" s="2" t="str">
        <f>IFERROR(VLOOKUP(Meal3[[#This Row],[Zutat '[Name aus Tabelle']]],Tabelle2[],13,FALSE),"")</f>
        <v/>
      </c>
      <c r="K14" s="2" t="str">
        <f>IFERROR(VLOOKUP(Meal3[[#This Row],[Zutat '[Name aus Tabelle']]],Tabelle2[],14,FALSE),"")</f>
        <v/>
      </c>
      <c r="L14" s="3">
        <f>IFERROR(Meal3[[#This Row],[Kaloriendichte '[kcal/g']]]*Meal3[[#This Row],[Menge '[g']]],0)</f>
        <v>0</v>
      </c>
      <c r="M14" s="7">
        <f>IFERROR(Meal3[[#This Row],[Proteindichte '[g/g']]]*Meal3[[#This Row],[Menge '[g']]],0)</f>
        <v>0</v>
      </c>
      <c r="N14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4" s="7">
        <f>IFERROR(ABS(Meal3[[#This Row],[Massenanpassung]]-Meal3[[#This Row],[Menge '[g']]])/Meal3[[#This Row],[Menge '[g']]],1000000)</f>
        <v>1000000</v>
      </c>
      <c r="P14" s="6"/>
    </row>
    <row r="15" spans="1:16" x14ac:dyDescent="0.55000000000000004">
      <c r="B15" s="3"/>
      <c r="C15" s="3"/>
      <c r="D15" s="3">
        <f>IF(ROW()-5=$N$29,Meal3[[#Totals],[Massenanpassung]]*$N$31,Meal3[[#This Row],[Menge '[g']]]*$N$31)</f>
        <v>0</v>
      </c>
      <c r="E15" s="3">
        <f>Meal3[[#This Row],[Berechnete Menge '[g']]]*Input!$B$7</f>
        <v>0</v>
      </c>
      <c r="F15" s="18">
        <f>IFERROR(Meal3[[#This Row],[Gesamtmenge '[g']]]*$L$36,"-")</f>
        <v>0</v>
      </c>
      <c r="G15" s="5" t="str">
        <f>IFERROR(VLOOKUP(Meal3[[#This Row],[Zutat '[Name aus Tabelle']]],Tabelle2[],11,FALSE)*Meal3[[#This Row],[Berechnete Menge '[g']]],"")</f>
        <v/>
      </c>
      <c r="H15" s="3" t="str">
        <f>IFERROR(Meal3[[#This Row],[Berechnete Menge '[g']]]*Meal3[[#This Row],[Kaloriendichte '[kcal/g']]],"")</f>
        <v/>
      </c>
      <c r="I15" s="7" t="str">
        <f>IFERROR(Meal3[[#This Row],[Berechnete Menge '[g']]]*Meal3[[#This Row],[Proteindichte '[g/g']]],"")</f>
        <v/>
      </c>
      <c r="J15" s="2" t="str">
        <f>IFERROR(VLOOKUP(Meal3[[#This Row],[Zutat '[Name aus Tabelle']]],Tabelle2[],13,FALSE),"")</f>
        <v/>
      </c>
      <c r="K15" s="2" t="str">
        <f>IFERROR(VLOOKUP(Meal3[[#This Row],[Zutat '[Name aus Tabelle']]],Tabelle2[],14,FALSE),"")</f>
        <v/>
      </c>
      <c r="L15" s="3">
        <f>IFERROR(Meal3[[#This Row],[Kaloriendichte '[kcal/g']]]*Meal3[[#This Row],[Menge '[g']]],0)</f>
        <v>0</v>
      </c>
      <c r="M15" s="7">
        <f>IFERROR(Meal3[[#This Row],[Proteindichte '[g/g']]]*Meal3[[#This Row],[Menge '[g']]],0)</f>
        <v>0</v>
      </c>
      <c r="N15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5" s="7">
        <f>IFERROR(ABS(Meal3[[#This Row],[Massenanpassung]]-Meal3[[#This Row],[Menge '[g']]])/Meal3[[#This Row],[Menge '[g']]],1000000)</f>
        <v>1000000</v>
      </c>
      <c r="P15" s="6"/>
    </row>
    <row r="16" spans="1:16" x14ac:dyDescent="0.55000000000000004">
      <c r="B16" s="3"/>
      <c r="C16" s="3"/>
      <c r="D16" s="3">
        <f>IF(ROW()-5=$N$29,Meal3[[#Totals],[Massenanpassung]]*$N$31,Meal3[[#This Row],[Menge '[g']]]*$N$31)</f>
        <v>0</v>
      </c>
      <c r="E16" s="3">
        <f>Meal3[[#This Row],[Berechnete Menge '[g']]]*Input!$B$7</f>
        <v>0</v>
      </c>
      <c r="F16" s="18">
        <f>IFERROR(Meal3[[#This Row],[Gesamtmenge '[g']]]*$L$36,"-")</f>
        <v>0</v>
      </c>
      <c r="G16" s="5" t="str">
        <f>IFERROR(VLOOKUP(Meal3[[#This Row],[Zutat '[Name aus Tabelle']]],Tabelle2[],11,FALSE)*Meal3[[#This Row],[Berechnete Menge '[g']]],"")</f>
        <v/>
      </c>
      <c r="H16" s="3" t="str">
        <f>IFERROR(Meal3[[#This Row],[Berechnete Menge '[g']]]*Meal3[[#This Row],[Kaloriendichte '[kcal/g']]],"")</f>
        <v/>
      </c>
      <c r="I16" s="7" t="str">
        <f>IFERROR(Meal3[[#This Row],[Berechnete Menge '[g']]]*Meal3[[#This Row],[Proteindichte '[g/g']]],"")</f>
        <v/>
      </c>
      <c r="J16" s="2" t="str">
        <f>IFERROR(VLOOKUP(Meal3[[#This Row],[Zutat '[Name aus Tabelle']]],Tabelle2[],13,FALSE),"")</f>
        <v/>
      </c>
      <c r="K16" s="2" t="str">
        <f>IFERROR(VLOOKUP(Meal3[[#This Row],[Zutat '[Name aus Tabelle']]],Tabelle2[],14,FALSE),"")</f>
        <v/>
      </c>
      <c r="L16" s="3">
        <f>IFERROR(Meal3[[#This Row],[Kaloriendichte '[kcal/g']]]*Meal3[[#This Row],[Menge '[g']]],0)</f>
        <v>0</v>
      </c>
      <c r="M16" s="7">
        <f>IFERROR(Meal3[[#This Row],[Proteindichte '[g/g']]]*Meal3[[#This Row],[Menge '[g']]],0)</f>
        <v>0</v>
      </c>
      <c r="N16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6" s="7">
        <f>IFERROR(ABS(Meal3[[#This Row],[Massenanpassung]]-Meal3[[#This Row],[Menge '[g']]])/Meal3[[#This Row],[Menge '[g']]],1000000)</f>
        <v>1000000</v>
      </c>
      <c r="P16" s="6"/>
    </row>
    <row r="17" spans="1:16" x14ac:dyDescent="0.55000000000000004">
      <c r="B17" s="3"/>
      <c r="C17" s="3"/>
      <c r="D17" s="3">
        <f>IF(ROW()-5=$N$29,Meal3[[#Totals],[Massenanpassung]]*$N$31,Meal3[[#This Row],[Menge '[g']]]*$N$31)</f>
        <v>0</v>
      </c>
      <c r="E17" s="3">
        <f>Meal3[[#This Row],[Berechnete Menge '[g']]]*Input!$B$7</f>
        <v>0</v>
      </c>
      <c r="F17" s="18">
        <f>IFERROR(Meal3[[#This Row],[Gesamtmenge '[g']]]*$L$36,"-")</f>
        <v>0</v>
      </c>
      <c r="G17" s="5" t="str">
        <f>IFERROR(VLOOKUP(Meal3[[#This Row],[Zutat '[Name aus Tabelle']]],Tabelle2[],11,FALSE)*Meal3[[#This Row],[Berechnete Menge '[g']]],"")</f>
        <v/>
      </c>
      <c r="H17" s="3" t="str">
        <f>IFERROR(Meal3[[#This Row],[Berechnete Menge '[g']]]*Meal3[[#This Row],[Kaloriendichte '[kcal/g']]],"")</f>
        <v/>
      </c>
      <c r="I17" s="7" t="str">
        <f>IFERROR(Meal3[[#This Row],[Berechnete Menge '[g']]]*Meal3[[#This Row],[Proteindichte '[g/g']]],"")</f>
        <v/>
      </c>
      <c r="J17" s="2" t="str">
        <f>IFERROR(VLOOKUP(Meal3[[#This Row],[Zutat '[Name aus Tabelle']]],Tabelle2[],13,FALSE),"")</f>
        <v/>
      </c>
      <c r="K17" s="2" t="str">
        <f>IFERROR(VLOOKUP(Meal3[[#This Row],[Zutat '[Name aus Tabelle']]],Tabelle2[],14,FALSE),"")</f>
        <v/>
      </c>
      <c r="L17" s="3">
        <f>IFERROR(Meal3[[#This Row],[Kaloriendichte '[kcal/g']]]*Meal3[[#This Row],[Menge '[g']]],0)</f>
        <v>0</v>
      </c>
      <c r="M17" s="7">
        <f>IFERROR(Meal3[[#This Row],[Proteindichte '[g/g']]]*Meal3[[#This Row],[Menge '[g']]],0)</f>
        <v>0</v>
      </c>
      <c r="N17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7" s="7">
        <f>IFERROR(ABS(Meal3[[#This Row],[Massenanpassung]]-Meal3[[#This Row],[Menge '[g']]])/Meal3[[#This Row],[Menge '[g']]],1000000)</f>
        <v>1000000</v>
      </c>
      <c r="P17" s="6"/>
    </row>
    <row r="18" spans="1:16" x14ac:dyDescent="0.55000000000000004">
      <c r="B18" s="3"/>
      <c r="C18" s="3"/>
      <c r="D18" s="3">
        <f>IF(ROW()-5=$N$29,Meal3[[#Totals],[Massenanpassung]]*$N$31,Meal3[[#This Row],[Menge '[g']]]*$N$31)</f>
        <v>0</v>
      </c>
      <c r="E18" s="3">
        <f>Meal3[[#This Row],[Berechnete Menge '[g']]]*Input!$B$7</f>
        <v>0</v>
      </c>
      <c r="F18" s="18">
        <f>IFERROR(Meal3[[#This Row],[Gesamtmenge '[g']]]*$L$36,"-")</f>
        <v>0</v>
      </c>
      <c r="G18" s="5" t="str">
        <f>IFERROR(VLOOKUP(Meal3[[#This Row],[Zutat '[Name aus Tabelle']]],Tabelle2[],11,FALSE)*Meal3[[#This Row],[Berechnete Menge '[g']]],"")</f>
        <v/>
      </c>
      <c r="H18" s="3" t="str">
        <f>IFERROR(Meal3[[#This Row],[Berechnete Menge '[g']]]*Meal3[[#This Row],[Kaloriendichte '[kcal/g']]],"")</f>
        <v/>
      </c>
      <c r="I18" s="7" t="str">
        <f>IFERROR(Meal3[[#This Row],[Berechnete Menge '[g']]]*Meal3[[#This Row],[Proteindichte '[g/g']]],"")</f>
        <v/>
      </c>
      <c r="J18" s="2" t="str">
        <f>IFERROR(VLOOKUP(Meal3[[#This Row],[Zutat '[Name aus Tabelle']]],Tabelle2[],13,FALSE),"")</f>
        <v/>
      </c>
      <c r="K18" s="2" t="str">
        <f>IFERROR(VLOOKUP(Meal3[[#This Row],[Zutat '[Name aus Tabelle']]],Tabelle2[],14,FALSE),"")</f>
        <v/>
      </c>
      <c r="L18" s="3">
        <f>IFERROR(Meal3[[#This Row],[Kaloriendichte '[kcal/g']]]*Meal3[[#This Row],[Menge '[g']]],0)</f>
        <v>0</v>
      </c>
      <c r="M18" s="7">
        <f>IFERROR(Meal3[[#This Row],[Proteindichte '[g/g']]]*Meal3[[#This Row],[Menge '[g']]],0)</f>
        <v>0</v>
      </c>
      <c r="N18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8" s="7">
        <f>IFERROR(ABS(Meal3[[#This Row],[Massenanpassung]]-Meal3[[#This Row],[Menge '[g']]])/Meal3[[#This Row],[Menge '[g']]],1000000)</f>
        <v>1000000</v>
      </c>
      <c r="P18" s="6"/>
    </row>
    <row r="19" spans="1:16" x14ac:dyDescent="0.55000000000000004">
      <c r="B19" s="3"/>
      <c r="C19" s="3"/>
      <c r="D19" s="3">
        <f>IF(ROW()-5=$N$29,Meal3[[#Totals],[Massenanpassung]]*$N$31,Meal3[[#This Row],[Menge '[g']]]*$N$31)</f>
        <v>0</v>
      </c>
      <c r="E19" s="3">
        <f>Meal3[[#This Row],[Berechnete Menge '[g']]]*Input!$B$7</f>
        <v>0</v>
      </c>
      <c r="F19" s="18">
        <f>IFERROR(Meal3[[#This Row],[Gesamtmenge '[g']]]*$L$36,"-")</f>
        <v>0</v>
      </c>
      <c r="G19" s="5" t="str">
        <f>IFERROR(VLOOKUP(Meal3[[#This Row],[Zutat '[Name aus Tabelle']]],Tabelle2[],11,FALSE)*Meal3[[#This Row],[Berechnete Menge '[g']]],"")</f>
        <v/>
      </c>
      <c r="H19" s="3" t="str">
        <f>IFERROR(Meal3[[#This Row],[Berechnete Menge '[g']]]*Meal3[[#This Row],[Kaloriendichte '[kcal/g']]],"")</f>
        <v/>
      </c>
      <c r="I19" s="7" t="str">
        <f>IFERROR(Meal3[[#This Row],[Berechnete Menge '[g']]]*Meal3[[#This Row],[Proteindichte '[g/g']]],"")</f>
        <v/>
      </c>
      <c r="J19" s="2" t="str">
        <f>IFERROR(VLOOKUP(Meal3[[#This Row],[Zutat '[Name aus Tabelle']]],Tabelle2[],13,FALSE),"")</f>
        <v/>
      </c>
      <c r="K19" s="2" t="str">
        <f>IFERROR(VLOOKUP(Meal3[[#This Row],[Zutat '[Name aus Tabelle']]],Tabelle2[],14,FALSE),"")</f>
        <v/>
      </c>
      <c r="L19" s="3">
        <f>IFERROR(Meal3[[#This Row],[Kaloriendichte '[kcal/g']]]*Meal3[[#This Row],[Menge '[g']]],0)</f>
        <v>0</v>
      </c>
      <c r="M19" s="7">
        <f>IFERROR(Meal3[[#This Row],[Proteindichte '[g/g']]]*Meal3[[#This Row],[Menge '[g']]],0)</f>
        <v>0</v>
      </c>
      <c r="N19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19" s="7">
        <f>IFERROR(ABS(Meal3[[#This Row],[Massenanpassung]]-Meal3[[#This Row],[Menge '[g']]])/Meal3[[#This Row],[Menge '[g']]],1000000)</f>
        <v>1000000</v>
      </c>
      <c r="P19" s="6"/>
    </row>
    <row r="20" spans="1:16" x14ac:dyDescent="0.55000000000000004">
      <c r="B20" s="3"/>
      <c r="C20" s="3"/>
      <c r="D20" s="3">
        <f>IF(ROW()-5=$N$29,Meal3[[#Totals],[Massenanpassung]]*$N$31,Meal3[[#This Row],[Menge '[g']]]*$N$31)</f>
        <v>0</v>
      </c>
      <c r="E20" s="3">
        <f>Meal3[[#This Row],[Berechnete Menge '[g']]]*Input!$B$7</f>
        <v>0</v>
      </c>
      <c r="F20" s="18">
        <f>IFERROR(Meal3[[#This Row],[Gesamtmenge '[g']]]*$L$36,"-")</f>
        <v>0</v>
      </c>
      <c r="G20" s="5" t="str">
        <f>IFERROR(VLOOKUP(Meal3[[#This Row],[Zutat '[Name aus Tabelle']]],Tabelle2[],11,FALSE)*Meal3[[#This Row],[Berechnete Menge '[g']]],"")</f>
        <v/>
      </c>
      <c r="H20" s="3" t="str">
        <f>IFERROR(Meal3[[#This Row],[Berechnete Menge '[g']]]*Meal3[[#This Row],[Kaloriendichte '[kcal/g']]],"")</f>
        <v/>
      </c>
      <c r="I20" s="7" t="str">
        <f>IFERROR(Meal3[[#This Row],[Berechnete Menge '[g']]]*Meal3[[#This Row],[Proteindichte '[g/g']]],"")</f>
        <v/>
      </c>
      <c r="J20" s="2" t="str">
        <f>IFERROR(VLOOKUP(Meal3[[#This Row],[Zutat '[Name aus Tabelle']]],Tabelle2[],13,FALSE),"")</f>
        <v/>
      </c>
      <c r="K20" s="2" t="str">
        <f>IFERROR(VLOOKUP(Meal3[[#This Row],[Zutat '[Name aus Tabelle']]],Tabelle2[],14,FALSE),"")</f>
        <v/>
      </c>
      <c r="L20" s="3">
        <f>IFERROR(Meal3[[#This Row],[Kaloriendichte '[kcal/g']]]*Meal3[[#This Row],[Menge '[g']]],0)</f>
        <v>0</v>
      </c>
      <c r="M20" s="7">
        <f>IFERROR(Meal3[[#This Row],[Proteindichte '[g/g']]]*Meal3[[#This Row],[Menge '[g']]],0)</f>
        <v>0</v>
      </c>
      <c r="N20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0" s="7">
        <f>IFERROR(ABS(Meal3[[#This Row],[Massenanpassung]]-Meal3[[#This Row],[Menge '[g']]])/Meal3[[#This Row],[Menge '[g']]],1000000)</f>
        <v>1000000</v>
      </c>
      <c r="P20" s="6"/>
    </row>
    <row r="21" spans="1:16" x14ac:dyDescent="0.55000000000000004">
      <c r="B21" s="3"/>
      <c r="C21" s="3"/>
      <c r="D21" s="3">
        <f>IF(ROW()-5=$N$29,Meal3[[#Totals],[Massenanpassung]]*$N$31,Meal3[[#This Row],[Menge '[g']]]*$N$31)</f>
        <v>0</v>
      </c>
      <c r="E21" s="3">
        <f>Meal3[[#This Row],[Berechnete Menge '[g']]]*Input!$B$7</f>
        <v>0</v>
      </c>
      <c r="F21" s="18">
        <f>IFERROR(Meal3[[#This Row],[Gesamtmenge '[g']]]*$L$36,"-")</f>
        <v>0</v>
      </c>
      <c r="G21" s="5" t="str">
        <f>IFERROR(VLOOKUP(Meal3[[#This Row],[Zutat '[Name aus Tabelle']]],Tabelle2[],11,FALSE)*Meal3[[#This Row],[Berechnete Menge '[g']]],"")</f>
        <v/>
      </c>
      <c r="H21" s="3" t="str">
        <f>IFERROR(Meal3[[#This Row],[Berechnete Menge '[g']]]*Meal3[[#This Row],[Kaloriendichte '[kcal/g']]],"")</f>
        <v/>
      </c>
      <c r="I21" s="7" t="str">
        <f>IFERROR(Meal3[[#This Row],[Berechnete Menge '[g']]]*Meal3[[#This Row],[Proteindichte '[g/g']]],"")</f>
        <v/>
      </c>
      <c r="J21" s="2" t="str">
        <f>IFERROR(VLOOKUP(Meal3[[#This Row],[Zutat '[Name aus Tabelle']]],Tabelle2[],13,FALSE),"")</f>
        <v/>
      </c>
      <c r="K21" s="2" t="str">
        <f>IFERROR(VLOOKUP(Meal3[[#This Row],[Zutat '[Name aus Tabelle']]],Tabelle2[],14,FALSE),"")</f>
        <v/>
      </c>
      <c r="L21" s="3">
        <f>IFERROR(Meal3[[#This Row],[Kaloriendichte '[kcal/g']]]*Meal3[[#This Row],[Menge '[g']]],0)</f>
        <v>0</v>
      </c>
      <c r="M21" s="7">
        <f>IFERROR(Meal3[[#This Row],[Proteindichte '[g/g']]]*Meal3[[#This Row],[Menge '[g']]],0)</f>
        <v>0</v>
      </c>
      <c r="N21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1" s="7">
        <f>IFERROR(ABS(Meal3[[#This Row],[Massenanpassung]]-Meal3[[#This Row],[Menge '[g']]])/Meal3[[#This Row],[Menge '[g']]],1000000)</f>
        <v>1000000</v>
      </c>
      <c r="P21" s="6"/>
    </row>
    <row r="22" spans="1:16" x14ac:dyDescent="0.55000000000000004">
      <c r="B22" s="4"/>
      <c r="C22" s="4"/>
      <c r="D22" s="4">
        <f>IF(ROW()-5=$N$29,Meal3[[#Totals],[Massenanpassung]]*$N$31,Meal3[[#This Row],[Menge '[g']]]*$N$31)</f>
        <v>0</v>
      </c>
      <c r="E22" s="4">
        <f>Meal3[[#This Row],[Berechnete Menge '[g']]]*Input!$B$7</f>
        <v>0</v>
      </c>
      <c r="F22" s="19">
        <f>IFERROR(Meal3[[#This Row],[Gesamtmenge '[g']]]*$L$36,"-")</f>
        <v>0</v>
      </c>
      <c r="G22" s="9" t="str">
        <f>IFERROR(VLOOKUP(Meal3[[#This Row],[Zutat '[Name aus Tabelle']]],Tabelle2[],11,FALSE)*Meal3[[#This Row],[Berechnete Menge '[g']]],"")</f>
        <v/>
      </c>
      <c r="H22" s="4" t="str">
        <f>IFERROR(Meal3[[#This Row],[Berechnete Menge '[g']]]*Meal3[[#This Row],[Kaloriendichte '[kcal/g']]],"")</f>
        <v/>
      </c>
      <c r="I22" s="7" t="str">
        <f>IFERROR(Meal3[[#This Row],[Berechnete Menge '[g']]]*Meal3[[#This Row],[Proteindichte '[g/g']]],"")</f>
        <v/>
      </c>
      <c r="J22" s="2" t="str">
        <f>IFERROR(VLOOKUP(Meal3[[#This Row],[Zutat '[Name aus Tabelle']]],Tabelle2[],13,FALSE),"")</f>
        <v/>
      </c>
      <c r="K22" s="2" t="str">
        <f>IFERROR(VLOOKUP(Meal3[[#This Row],[Zutat '[Name aus Tabelle']]],Tabelle2[],14,FALSE),"")</f>
        <v/>
      </c>
      <c r="L22" s="4">
        <f>IFERROR(Meal3[[#This Row],[Kaloriendichte '[kcal/g']]]*Meal3[[#This Row],[Menge '[g']]],0)</f>
        <v>0</v>
      </c>
      <c r="M22" s="8">
        <f>IFERROR(Meal3[[#This Row],[Proteindichte '[g/g']]]*Meal3[[#This Row],[Menge '[g']]],0)</f>
        <v>0</v>
      </c>
      <c r="N22" s="8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2" s="8">
        <f>IFERROR(ABS(Meal3[[#This Row],[Massenanpassung]]-Meal3[[#This Row],[Menge '[g']]])/Meal3[[#This Row],[Menge '[g']]],1000000)</f>
        <v>1000000</v>
      </c>
      <c r="P22" s="6"/>
    </row>
    <row r="23" spans="1:16" x14ac:dyDescent="0.55000000000000004">
      <c r="B23" s="3"/>
      <c r="C23" s="3"/>
      <c r="D23" s="3">
        <f>IF(ROW()-5=$N$29,Meal3[[#Totals],[Massenanpassung]]*$N$31,Meal3[[#This Row],[Menge '[g']]]*$N$31)</f>
        <v>0</v>
      </c>
      <c r="E23" s="3">
        <f>Meal3[[#This Row],[Berechnete Menge '[g']]]*Input!$B$7</f>
        <v>0</v>
      </c>
      <c r="F23" s="18">
        <f>IFERROR(Meal3[[#This Row],[Gesamtmenge '[g']]]*$L$36,"-")</f>
        <v>0</v>
      </c>
      <c r="G23" s="5" t="str">
        <f>IFERROR(VLOOKUP(Meal3[[#This Row],[Zutat '[Name aus Tabelle']]],Tabelle2[],11,FALSE)*Meal3[[#This Row],[Berechnete Menge '[g']]],"")</f>
        <v/>
      </c>
      <c r="H23" s="3" t="str">
        <f>IFERROR(Meal3[[#This Row],[Berechnete Menge '[g']]]*Meal3[[#This Row],[Kaloriendichte '[kcal/g']]],"")</f>
        <v/>
      </c>
      <c r="I23" s="7" t="str">
        <f>IFERROR(Meal3[[#This Row],[Berechnete Menge '[g']]]*Meal3[[#This Row],[Proteindichte '[g/g']]],"")</f>
        <v/>
      </c>
      <c r="J23" s="2" t="str">
        <f>IFERROR(VLOOKUP(Meal3[[#This Row],[Zutat '[Name aus Tabelle']]],Tabelle2[],13,FALSE),"")</f>
        <v/>
      </c>
      <c r="K23" s="2" t="str">
        <f>IFERROR(VLOOKUP(Meal3[[#This Row],[Zutat '[Name aus Tabelle']]],Tabelle2[],14,FALSE),"")</f>
        <v/>
      </c>
      <c r="L23" s="3">
        <f>IFERROR(Meal3[[#This Row],[Kaloriendichte '[kcal/g']]]*Meal3[[#This Row],[Menge '[g']]],0)</f>
        <v>0</v>
      </c>
      <c r="M23" s="7">
        <f>IFERROR(Meal3[[#This Row],[Proteindichte '[g/g']]]*Meal3[[#This Row],[Menge '[g']]],0)</f>
        <v>0</v>
      </c>
      <c r="N23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3" s="7">
        <f>IFERROR(ABS(Meal3[[#This Row],[Massenanpassung]]-Meal3[[#This Row],[Menge '[g']]])/Meal3[[#This Row],[Menge '[g']]],1000000)</f>
        <v>1000000</v>
      </c>
      <c r="P23" s="6"/>
    </row>
    <row r="24" spans="1:16" x14ac:dyDescent="0.55000000000000004">
      <c r="B24" s="3"/>
      <c r="C24" s="3"/>
      <c r="D24" s="3">
        <f>IF(ROW()-5=$N$29,Meal3[[#Totals],[Massenanpassung]]*$N$31,Meal3[[#This Row],[Menge '[g']]]*$N$31)</f>
        <v>0</v>
      </c>
      <c r="E24" s="3">
        <f>Meal3[[#This Row],[Berechnete Menge '[g']]]*Input!$B$7</f>
        <v>0</v>
      </c>
      <c r="F24" s="18">
        <f>IFERROR(Meal3[[#This Row],[Gesamtmenge '[g']]]*$L$36,"-")</f>
        <v>0</v>
      </c>
      <c r="G24" s="5" t="str">
        <f>IFERROR(VLOOKUP(Meal3[[#This Row],[Zutat '[Name aus Tabelle']]],Tabelle2[],11,FALSE)*Meal3[[#This Row],[Berechnete Menge '[g']]],"")</f>
        <v/>
      </c>
      <c r="H24" s="3" t="str">
        <f>IFERROR(Meal3[[#This Row],[Berechnete Menge '[g']]]*Meal3[[#This Row],[Kaloriendichte '[kcal/g']]],"")</f>
        <v/>
      </c>
      <c r="I24" s="7" t="str">
        <f>IFERROR(Meal3[[#This Row],[Berechnete Menge '[g']]]*Meal3[[#This Row],[Proteindichte '[g/g']]],"")</f>
        <v/>
      </c>
      <c r="J24" s="2" t="str">
        <f>IFERROR(VLOOKUP(Meal3[[#This Row],[Zutat '[Name aus Tabelle']]],Tabelle2[],13,FALSE),"")</f>
        <v/>
      </c>
      <c r="K24" s="2" t="str">
        <f>IFERROR(VLOOKUP(Meal3[[#This Row],[Zutat '[Name aus Tabelle']]],Tabelle2[],14,FALSE),"")</f>
        <v/>
      </c>
      <c r="L24" s="3">
        <f>IFERROR(Meal3[[#This Row],[Kaloriendichte '[kcal/g']]]*Meal3[[#This Row],[Menge '[g']]],0)</f>
        <v>0</v>
      </c>
      <c r="M24" s="7">
        <f>IFERROR(Meal3[[#This Row],[Proteindichte '[g/g']]]*Meal3[[#This Row],[Menge '[g']]],0)</f>
        <v>0</v>
      </c>
      <c r="N24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4" s="7">
        <f>IFERROR(ABS(Meal3[[#This Row],[Massenanpassung]]-Meal3[[#This Row],[Menge '[g']]])/Meal3[[#This Row],[Menge '[g']]],1000000)</f>
        <v>1000000</v>
      </c>
      <c r="P24" s="6"/>
    </row>
    <row r="25" spans="1:16" x14ac:dyDescent="0.55000000000000004">
      <c r="B25" s="3"/>
      <c r="C25" s="3"/>
      <c r="D25" s="3">
        <f>IF(ROW()-5=$N$29,Meal3[[#Totals],[Massenanpassung]]*$N$31,Meal3[[#This Row],[Menge '[g']]]*$N$31)</f>
        <v>0</v>
      </c>
      <c r="E25" s="3">
        <f>Meal3[[#This Row],[Berechnete Menge '[g']]]*Input!$B$7</f>
        <v>0</v>
      </c>
      <c r="F25" s="18">
        <f>IFERROR(Meal3[[#This Row],[Gesamtmenge '[g']]]*$L$36,"-")</f>
        <v>0</v>
      </c>
      <c r="G25" s="5" t="str">
        <f>IFERROR(VLOOKUP(Meal3[[#This Row],[Zutat '[Name aus Tabelle']]],Tabelle2[],11,FALSE)*Meal3[[#This Row],[Berechnete Menge '[g']]],"")</f>
        <v/>
      </c>
      <c r="H25" s="3" t="str">
        <f>IFERROR(Meal3[[#This Row],[Berechnete Menge '[g']]]*Meal3[[#This Row],[Kaloriendichte '[kcal/g']]],"")</f>
        <v/>
      </c>
      <c r="I25" s="7" t="str">
        <f>IFERROR(Meal3[[#This Row],[Berechnete Menge '[g']]]*Meal3[[#This Row],[Proteindichte '[g/g']]],"")</f>
        <v/>
      </c>
      <c r="J25" s="2" t="str">
        <f>IFERROR(VLOOKUP(Meal3[[#This Row],[Zutat '[Name aus Tabelle']]],Tabelle2[],13,FALSE),"")</f>
        <v/>
      </c>
      <c r="K25" s="2" t="str">
        <f>IFERROR(VLOOKUP(Meal3[[#This Row],[Zutat '[Name aus Tabelle']]],Tabelle2[],14,FALSE),"")</f>
        <v/>
      </c>
      <c r="L25" s="3">
        <f>IFERROR(Meal3[[#This Row],[Kaloriendichte '[kcal/g']]]*Meal3[[#This Row],[Menge '[g']]],0)</f>
        <v>0</v>
      </c>
      <c r="M25" s="7">
        <f>IFERROR(Meal3[[#This Row],[Proteindichte '[g/g']]]*Meal3[[#This Row],[Menge '[g']]],0)</f>
        <v>0</v>
      </c>
      <c r="N25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5" s="7">
        <f>IFERROR(ABS(Meal3[[#This Row],[Massenanpassung]]-Meal3[[#This Row],[Menge '[g']]])/Meal3[[#This Row],[Menge '[g']]],1000000)</f>
        <v>1000000</v>
      </c>
      <c r="P25" s="6"/>
    </row>
    <row r="26" spans="1:16" x14ac:dyDescent="0.55000000000000004">
      <c r="B26" s="3"/>
      <c r="C26" s="3"/>
      <c r="D26" s="3">
        <f>IF(ROW()-5=$N$29,Meal3[[#Totals],[Massenanpassung]]*$N$31,Meal3[[#This Row],[Menge '[g']]]*$N$31)</f>
        <v>0</v>
      </c>
      <c r="E26" s="3">
        <f>Meal3[[#This Row],[Berechnete Menge '[g']]]*Input!$B$7</f>
        <v>0</v>
      </c>
      <c r="F26" s="18">
        <f>IFERROR(Meal3[[#This Row],[Gesamtmenge '[g']]]*$L$36,"-")</f>
        <v>0</v>
      </c>
      <c r="G26" s="5" t="str">
        <f>IFERROR(VLOOKUP(Meal3[[#This Row],[Zutat '[Name aus Tabelle']]],Tabelle2[],11,FALSE)*Meal3[[#This Row],[Berechnete Menge '[g']]],"")</f>
        <v/>
      </c>
      <c r="H26" s="3" t="str">
        <f>IFERROR(Meal3[[#This Row],[Berechnete Menge '[g']]]*Meal3[[#This Row],[Kaloriendichte '[kcal/g']]],"")</f>
        <v/>
      </c>
      <c r="I26" s="7" t="str">
        <f>IFERROR(Meal3[[#This Row],[Berechnete Menge '[g']]]*Meal3[[#This Row],[Proteindichte '[g/g']]],"")</f>
        <v/>
      </c>
      <c r="J26" s="2" t="str">
        <f>IFERROR(VLOOKUP(Meal3[[#This Row],[Zutat '[Name aus Tabelle']]],Tabelle2[],13,FALSE),"")</f>
        <v/>
      </c>
      <c r="K26" s="2" t="str">
        <f>IFERROR(VLOOKUP(Meal3[[#This Row],[Zutat '[Name aus Tabelle']]],Tabelle2[],14,FALSE),"")</f>
        <v/>
      </c>
      <c r="L26" s="3">
        <f>IFERROR(Meal3[[#This Row],[Kaloriendichte '[kcal/g']]]*Meal3[[#This Row],[Menge '[g']]],0)</f>
        <v>0</v>
      </c>
      <c r="M26" s="7">
        <f>IFERROR(Meal3[[#This Row],[Proteindichte '[g/g']]]*Meal3[[#This Row],[Menge '[g']]],0)</f>
        <v>0</v>
      </c>
      <c r="N26" s="7">
        <f>IFERROR(($N$28*(Meal3[[#Totals],[Kalorien vorher '[kcal']]]-Meal3[[#This Row],[Kalorien vorher '[kcal']]])-(Meal3[[#Totals],[Proteine vorher '[g']]]-Meal3[[#This Row],[Proteine vorher '[g']]]))/(Meal3[[#This Row],[Proteindichte '[g/g']]]-$N$28*Meal3[[#This Row],[Kaloriendichte '[kcal/g']]]),1000000)</f>
        <v>1000000</v>
      </c>
      <c r="O26" s="7">
        <f>IFERROR(ABS(Meal3[[#This Row],[Massenanpassung]]-Meal3[[#This Row],[Menge '[g']]])/Meal3[[#This Row],[Menge '[g']]],1000000)</f>
        <v>1000000</v>
      </c>
      <c r="P26" s="6"/>
    </row>
    <row r="27" spans="1:16" x14ac:dyDescent="0.55000000000000004">
      <c r="A27" t="s">
        <v>19</v>
      </c>
      <c r="G27" s="5">
        <f>SUBTOTAL(109,Meal3[Kosten '[€']])</f>
        <v>3.3236207794477766</v>
      </c>
      <c r="H27" s="3">
        <f>SUBTOTAL(109,Meal3[Kalorien '[kcal']])</f>
        <v>750</v>
      </c>
      <c r="I27" s="3">
        <f>SUBTOTAL(109,Meal3[Proteine '[g']])</f>
        <v>50.000000000000007</v>
      </c>
      <c r="L27" s="3">
        <f>SUBTOTAL(109,Meal3[Kalorien vorher '[kcal']])</f>
        <v>2342.0500000000002</v>
      </c>
      <c r="M27" s="3">
        <f>SUBTOTAL(109,Meal3[Proteine vorher '[g']])</f>
        <v>152.6</v>
      </c>
      <c r="N27" cm="1">
        <f t="array" ref="N27">INDEX(Meal3[Massenanpassung],N29)</f>
        <v>551.13300492610847</v>
      </c>
      <c r="O27" s="7">
        <f>_xlfn.MINIFS(Meal3[Relative Abweichung],Meal3[Massenanpassung],"&gt;0",Meal3[Spalte1],"&lt;&gt;x")</f>
        <v>4.977715224020661E-2</v>
      </c>
      <c r="P27" s="6"/>
    </row>
    <row r="28" spans="1:16" x14ac:dyDescent="0.55000000000000004">
      <c r="A28" s="14" t="s">
        <v>63</v>
      </c>
      <c r="B28" s="36"/>
      <c r="C28" s="36"/>
      <c r="D28" s="36"/>
      <c r="E28" s="36"/>
      <c r="F28" s="36"/>
      <c r="G28" s="36"/>
      <c r="H28" s="15">
        <f>'Meal 2'!H28-Meal3[[#Totals],[Kalorien '[kcal']]]</f>
        <v>750</v>
      </c>
      <c r="I28" s="15">
        <f>'Meal 2'!I28-Meal3[[#Totals],[Proteine '[g']]]</f>
        <v>49.999999999999993</v>
      </c>
      <c r="J28" s="6"/>
      <c r="K28" s="6"/>
      <c r="L28" s="6"/>
      <c r="M28" s="22" t="s">
        <v>91</v>
      </c>
      <c r="N28" s="23">
        <f>K4/K3</f>
        <v>6.6666666666666666E-2</v>
      </c>
      <c r="O28" s="6"/>
      <c r="P28" s="6"/>
    </row>
    <row r="29" spans="1:16" x14ac:dyDescent="0.55000000000000004">
      <c r="A29" s="6"/>
      <c r="B29" s="10"/>
      <c r="C29" s="10"/>
      <c r="D29" s="11"/>
      <c r="E29" s="11"/>
      <c r="F29" s="11"/>
      <c r="G29" s="6"/>
      <c r="H29" s="6"/>
      <c r="I29" s="6"/>
      <c r="J29" s="6"/>
      <c r="K29" s="6"/>
      <c r="L29" s="6"/>
      <c r="M29" s="22" t="s">
        <v>92</v>
      </c>
      <c r="N29" s="24">
        <f>MATCH(Meal3[[#Totals],[Relative Abweichung]],Meal3[Relative Abweichung],0)</f>
        <v>1</v>
      </c>
      <c r="O29" s="6"/>
      <c r="P29" s="6"/>
    </row>
    <row r="30" spans="1:16" x14ac:dyDescent="0.55000000000000004">
      <c r="A30" s="6"/>
      <c r="B30" s="10"/>
      <c r="C30" s="10"/>
      <c r="D30" s="11"/>
      <c r="E30" s="11"/>
      <c r="F30" s="11"/>
      <c r="G30" s="6"/>
      <c r="H30" s="6"/>
      <c r="I30" s="6"/>
      <c r="J30" s="6"/>
      <c r="K30" s="6"/>
      <c r="L30" s="6"/>
      <c r="M30" s="22" t="s">
        <v>93</v>
      </c>
      <c r="N30" s="24" cm="1">
        <f t="array" ref="N30">Meal3[[#Totals],[Kalorien vorher '[kcal']]]-INDEX(Meal3[Kalorien vorher '[kcal']],N29)+Meal3[[#Totals],[Massenanpassung]]*INDEX(Meal3[Kaloriendichte '[kcal/g']],N29)</f>
        <v>2367.3990147783252</v>
      </c>
      <c r="O30" s="6"/>
      <c r="P30" s="6"/>
    </row>
    <row r="31" spans="1:16" x14ac:dyDescent="0.55000000000000004">
      <c r="A31" s="6"/>
      <c r="B31" s="10"/>
      <c r="C31" s="10"/>
      <c r="D31" s="11"/>
      <c r="E31" s="11"/>
      <c r="F31" s="11"/>
      <c r="G31" s="6"/>
      <c r="H31" s="6"/>
      <c r="I31" s="6"/>
      <c r="J31" s="6"/>
      <c r="K31" s="6"/>
      <c r="L31" s="6"/>
      <c r="M31" s="22" t="s">
        <v>94</v>
      </c>
      <c r="N31" s="25">
        <f>K3/N30</f>
        <v>0.31680337590671309</v>
      </c>
      <c r="O31" s="6"/>
      <c r="P31" s="6"/>
    </row>
    <row r="35" spans="2:12" x14ac:dyDescent="0.55000000000000004">
      <c r="L35" s="3"/>
    </row>
    <row r="40" spans="2:12" x14ac:dyDescent="0.55000000000000004">
      <c r="B40" s="3"/>
    </row>
    <row r="41" spans="2:12" x14ac:dyDescent="0.55000000000000004">
      <c r="B41" s="3"/>
    </row>
    <row r="42" spans="2:12" x14ac:dyDescent="0.55000000000000004">
      <c r="B42" s="3"/>
    </row>
    <row r="43" spans="2:12" x14ac:dyDescent="0.55000000000000004">
      <c r="B43" s="3"/>
    </row>
  </sheetData>
  <mergeCells count="4">
    <mergeCell ref="B3:J3"/>
    <mergeCell ref="B4:J4"/>
    <mergeCell ref="B28:G28"/>
    <mergeCell ref="A1:O2"/>
  </mergeCells>
  <conditionalFormatting sqref="G6:G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477-DFD1-46D4-8B36-47531D57A57E}">
  <dimension ref="A1:P35"/>
  <sheetViews>
    <sheetView zoomScale="90" zoomScaleNormal="90" workbookViewId="0">
      <selection activeCell="D6" sqref="D6"/>
    </sheetView>
  </sheetViews>
  <sheetFormatPr baseColWidth="10" defaultColWidth="10.734375" defaultRowHeight="14.4" outlineLevelCol="1" x14ac:dyDescent="0.55000000000000004"/>
  <cols>
    <col min="1" max="1" width="23.7890625" customWidth="1"/>
    <col min="2" max="2" width="11.15625" customWidth="1"/>
    <col min="3" max="3" width="3.1015625" customWidth="1"/>
    <col min="4" max="6" width="21.1015625" customWidth="1"/>
    <col min="7" max="7" width="11.15625" customWidth="1"/>
    <col min="8" max="8" width="14.9453125" customWidth="1"/>
    <col min="9" max="9" width="12.7890625" customWidth="1"/>
    <col min="10" max="10" width="21.5234375" customWidth="1"/>
    <col min="11" max="11" width="22.05078125" customWidth="1"/>
    <col min="12" max="12" width="20.83984375" hidden="1" customWidth="1" outlineLevel="1"/>
    <col min="13" max="14" width="18.68359375" hidden="1" customWidth="1" outlineLevel="1"/>
    <col min="15" max="15" width="18" hidden="1" customWidth="1" outlineLevel="1"/>
    <col min="16" max="16" width="10.734375" collapsed="1"/>
  </cols>
  <sheetData>
    <row r="1" spans="1:16" x14ac:dyDescent="0.55000000000000004">
      <c r="A1" s="34" t="s">
        <v>41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6"/>
    </row>
    <row r="2" spans="1:16" x14ac:dyDescent="0.55000000000000004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6"/>
    </row>
    <row r="3" spans="1:16" x14ac:dyDescent="0.55000000000000004">
      <c r="A3" s="14" t="s">
        <v>31</v>
      </c>
      <c r="B3" s="32"/>
      <c r="C3" s="32"/>
      <c r="D3" s="32"/>
      <c r="E3" s="32"/>
      <c r="F3" s="32"/>
      <c r="G3" s="32"/>
      <c r="H3" s="32"/>
      <c r="I3" s="32"/>
      <c r="J3" s="32"/>
      <c r="K3" s="16">
        <f>IF(ISBLANK(B3),'Meal 3'!H28/(Input!B6-3),B3)</f>
        <v>750</v>
      </c>
      <c r="L3" s="6"/>
      <c r="M3" s="6"/>
      <c r="N3" s="6"/>
      <c r="O3" s="6"/>
      <c r="P3" s="6"/>
    </row>
    <row r="4" spans="1:16" x14ac:dyDescent="0.55000000000000004">
      <c r="A4" s="14" t="s">
        <v>32</v>
      </c>
      <c r="B4" s="33"/>
      <c r="C4" s="33"/>
      <c r="D4" s="33"/>
      <c r="E4" s="33"/>
      <c r="F4" s="33"/>
      <c r="G4" s="33"/>
      <c r="H4" s="33"/>
      <c r="I4" s="33"/>
      <c r="J4" s="33"/>
      <c r="K4" s="17">
        <f>IF(ISBLANK(B4),'Meal 3'!I28/(Input!B6-3),B4)</f>
        <v>49.999999999999993</v>
      </c>
      <c r="L4" s="6"/>
      <c r="M4" s="6"/>
      <c r="N4" s="6"/>
      <c r="O4" s="6"/>
      <c r="P4" s="6"/>
    </row>
    <row r="5" spans="1:16" x14ac:dyDescent="0.55000000000000004">
      <c r="A5" t="s">
        <v>16</v>
      </c>
      <c r="B5" s="3" t="s">
        <v>2</v>
      </c>
      <c r="C5" s="3" t="s">
        <v>59</v>
      </c>
      <c r="D5" t="s">
        <v>21</v>
      </c>
      <c r="E5" t="s">
        <v>81</v>
      </c>
      <c r="F5" t="s">
        <v>83</v>
      </c>
      <c r="G5" t="s">
        <v>18</v>
      </c>
      <c r="H5" t="s">
        <v>15</v>
      </c>
      <c r="I5" t="s">
        <v>17</v>
      </c>
      <c r="J5" s="3" t="s">
        <v>24</v>
      </c>
      <c r="K5" s="3" t="s">
        <v>25</v>
      </c>
      <c r="L5" s="2" t="s">
        <v>28</v>
      </c>
      <c r="M5" t="s">
        <v>27</v>
      </c>
      <c r="N5" t="s">
        <v>89</v>
      </c>
      <c r="O5" t="s">
        <v>90</v>
      </c>
      <c r="P5" s="6"/>
    </row>
    <row r="6" spans="1:16" x14ac:dyDescent="0.55000000000000004">
      <c r="A6" t="s">
        <v>69</v>
      </c>
      <c r="B6" s="3">
        <v>100</v>
      </c>
      <c r="C6" s="3"/>
      <c r="D6" s="3">
        <f>IF(ROW()-5=$N$29,Meal4[[#Totals],[Massenanpassung]]*$N$31,Meal4[[#This Row],[Menge '[g']]]*$N$31)</f>
        <v>141.46954567569449</v>
      </c>
      <c r="E6" s="3">
        <f>Meal4[[#This Row],[Berechnete Menge '[g']]]*Input!$B$7</f>
        <v>565.87818270277796</v>
      </c>
      <c r="F6" s="18">
        <f>IFERROR(Meal4[[#This Row],[Gesamtmenge '[g']]]*$L$36,"-")</f>
        <v>0</v>
      </c>
      <c r="G6" s="5">
        <f>IFERROR(VLOOKUP(Meal4[[#This Row],[Zutat '[Name aus Tabelle']]],Tabelle2[],11,FALSE)*Meal4[[#This Row],[Berechnete Menge '[g']]],"")</f>
        <v>0.61892926233116341</v>
      </c>
      <c r="H6" s="3">
        <f>IFERROR(Meal4[[#This Row],[Berechnete Menge '[g']]]*Meal4[[#This Row],[Kaloriendichte '[kcal/g']]],"")</f>
        <v>356.50325510275013</v>
      </c>
      <c r="I6" s="7">
        <f>IFERROR(Meal4[[#This Row],[Berechnete Menge '[g']]]*Meal4[[#This Row],[Proteindichte '[g/g']]],"")</f>
        <v>9.9028681972986146</v>
      </c>
      <c r="J6" s="1">
        <f>IFERROR(VLOOKUP(Meal4[[#This Row],[Zutat '[Name aus Tabelle']]],Tabelle2[],13,FALSE),"")</f>
        <v>2.52</v>
      </c>
      <c r="K6" s="1">
        <f>IFERROR(VLOOKUP(Meal4[[#This Row],[Zutat '[Name aus Tabelle']]],Tabelle2[],14,FALSE),"")</f>
        <v>7.0000000000000007E-2</v>
      </c>
      <c r="L6" s="3">
        <f>IFERROR(Meal4[[#This Row],[Kaloriendichte '[kcal/g']]]*Meal4[[#This Row],[Menge '[g']]],0)</f>
        <v>252</v>
      </c>
      <c r="M6" s="7">
        <f>IFERROR(Meal4[[#This Row],[Proteindichte '[g/g']]]*Meal4[[#This Row],[Menge '[g']]],0)</f>
        <v>7.0000000000000009</v>
      </c>
      <c r="N6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206.0204081632655</v>
      </c>
      <c r="O6" s="7">
        <f>IFERROR(ABS(Meal4[[#This Row],[Massenanpassung]]-Meal4[[#This Row],[Menge '[g']]])/Meal4[[#This Row],[Menge '[g']]],1000000)</f>
        <v>1.060204081632655</v>
      </c>
      <c r="P6" s="6"/>
    </row>
    <row r="7" spans="1:16" x14ac:dyDescent="0.55000000000000004">
      <c r="A7" t="s">
        <v>86</v>
      </c>
      <c r="B7" s="3">
        <v>120</v>
      </c>
      <c r="C7" s="7"/>
      <c r="D7" s="3">
        <f>IF(ROW()-5=$N$29,Meal4[[#Totals],[Massenanpassung]]*$N$31,Meal4[[#This Row],[Menge '[g']]]*$N$31)</f>
        <v>169.76345481083339</v>
      </c>
      <c r="E7" s="3">
        <f>Meal4[[#This Row],[Berechnete Menge '[g']]]*Input!$B$7</f>
        <v>679.05381924333358</v>
      </c>
      <c r="F7" s="18">
        <f>IFERROR(Meal4[[#This Row],[Gesamtmenge '[g']]]*$L$36,"-")</f>
        <v>0</v>
      </c>
      <c r="G7" s="5">
        <f>IFERROR(VLOOKUP(Meal4[[#This Row],[Zutat '[Name aus Tabelle']]],Tabelle2[],11,FALSE)*Meal4[[#This Row],[Berechnete Menge '[g']]],"")</f>
        <v>0.84032910131362526</v>
      </c>
      <c r="H7" s="3">
        <f>IFERROR(Meal4[[#This Row],[Berechnete Menge '[g']]]*Meal4[[#This Row],[Kaloriendichte '[kcal/g']]],"")</f>
        <v>164.67055116650837</v>
      </c>
      <c r="I7" s="7">
        <f>IFERROR(Meal4[[#This Row],[Berechnete Menge '[g']]]*Meal4[[#This Row],[Proteindichte '[g/g']]],"")</f>
        <v>18.673980029191675</v>
      </c>
      <c r="J7" s="1">
        <f>IFERROR(VLOOKUP(Meal4[[#This Row],[Zutat '[Name aus Tabelle']]],Tabelle2[],13,FALSE),"")</f>
        <v>0.97</v>
      </c>
      <c r="K7" s="1">
        <f>IFERROR(VLOOKUP(Meal4[[#This Row],[Zutat '[Name aus Tabelle']]],Tabelle2[],14,FALSE),"")</f>
        <v>0.11</v>
      </c>
      <c r="L7" s="3">
        <f>IFERROR(Meal4[[#This Row],[Kaloriendichte '[kcal/g']]]*Meal4[[#This Row],[Menge '[g']]],0)</f>
        <v>116.39999999999999</v>
      </c>
      <c r="M7" s="7">
        <f>IFERROR(Meal4[[#This Row],[Proteindichte '[g/g']]]*Meal4[[#This Row],[Menge '[g']]],0)</f>
        <v>13.2</v>
      </c>
      <c r="N7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-109.19117647058833</v>
      </c>
      <c r="O7" s="7">
        <f>IFERROR(ABS(Meal4[[#This Row],[Massenanpassung]]-Meal4[[#This Row],[Menge '[g']]])/Meal4[[#This Row],[Menge '[g']]],1000000)</f>
        <v>1.9099264705882362</v>
      </c>
      <c r="P7" s="6"/>
    </row>
    <row r="8" spans="1:16" x14ac:dyDescent="0.55000000000000004">
      <c r="A8" t="s">
        <v>72</v>
      </c>
      <c r="B8" s="3">
        <v>200</v>
      </c>
      <c r="C8" s="3"/>
      <c r="D8" s="3">
        <f>IF(ROW()-5=$N$29,Meal4[[#Totals],[Massenanpassung]]*$N$31,Meal4[[#This Row],[Menge '[g']]]*$N$31)</f>
        <v>282.93909135138898</v>
      </c>
      <c r="E8" s="3">
        <f>Meal4[[#This Row],[Berechnete Menge '[g']]]*Input!$B$7</f>
        <v>1131.7563654055559</v>
      </c>
      <c r="F8" s="18">
        <f>IFERROR(Meal4[[#This Row],[Gesamtmenge '[g']]]*$L$36,"-")</f>
        <v>0</v>
      </c>
      <c r="G8" s="5">
        <f>IFERROR(VLOOKUP(Meal4[[#This Row],[Zutat '[Name aus Tabelle']]],Tabelle2[],11,FALSE)*Meal4[[#This Row],[Berechnete Menge '[g']]],"")</f>
        <v>0.29708604591895849</v>
      </c>
      <c r="H8" s="3">
        <f>IFERROR(Meal4[[#This Row],[Berechnete Menge '[g']]]*Meal4[[#This Row],[Kaloriendichte '[kcal/g']]],"")</f>
        <v>181.08101846488896</v>
      </c>
      <c r="I8" s="7">
        <f>IFERROR(Meal4[[#This Row],[Berechnete Menge '[g']]]*Meal4[[#This Row],[Proteindichte '[g/g']]],"")</f>
        <v>9.9028681972986146</v>
      </c>
      <c r="J8" s="1">
        <f>IFERROR(VLOOKUP(Meal4[[#This Row],[Zutat '[Name aus Tabelle']]],Tabelle2[],13,FALSE),"")</f>
        <v>0.64</v>
      </c>
      <c r="K8" s="1">
        <f>IFERROR(VLOOKUP(Meal4[[#This Row],[Zutat '[Name aus Tabelle']]],Tabelle2[],14,FALSE),"")</f>
        <v>3.5000000000000003E-2</v>
      </c>
      <c r="L8" s="3">
        <f>IFERROR(Meal4[[#This Row],[Kaloriendichte '[kcal/g']]]*Meal4[[#This Row],[Menge '[g']]],0)</f>
        <v>128</v>
      </c>
      <c r="M8" s="7">
        <f>IFERROR(Meal4[[#This Row],[Proteindichte '[g/g']]]*Meal4[[#This Row],[Menge '[g']]],0)</f>
        <v>7.0000000000000009</v>
      </c>
      <c r="N8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1555.2173913043518</v>
      </c>
      <c r="O8" s="7">
        <f>IFERROR(ABS(Meal4[[#This Row],[Massenanpassung]]-Meal4[[#This Row],[Menge '[g']]])/Meal4[[#This Row],[Menge '[g']]],1000000)</f>
        <v>6.776086956521759</v>
      </c>
      <c r="P8" s="6"/>
    </row>
    <row r="9" spans="1:16" x14ac:dyDescent="0.55000000000000004">
      <c r="A9" t="s">
        <v>0</v>
      </c>
      <c r="B9" s="3">
        <v>25</v>
      </c>
      <c r="C9" s="3"/>
      <c r="D9" s="3">
        <f>IF(ROW()-5=$N$29,Meal4[[#Totals],[Massenanpassung]]*$N$31,Meal4[[#This Row],[Menge '[g']]]*$N$31)</f>
        <v>12.800315084678987</v>
      </c>
      <c r="E9" s="3">
        <f>Meal4[[#This Row],[Berechnete Menge '[g']]]*Input!$B$7</f>
        <v>51.201260338715947</v>
      </c>
      <c r="F9" s="18">
        <f>IFERROR(Meal4[[#This Row],[Gesamtmenge '[g']]]*$L$36,"-")</f>
        <v>0</v>
      </c>
      <c r="G9" s="5">
        <f>IFERROR(VLOOKUP(Meal4[[#This Row],[Zutat '[Name aus Tabelle']]],Tabelle2[],11,FALSE)*Meal4[[#This Row],[Berechnete Menge '[g']]],"")</f>
        <v>0.30715636077195696</v>
      </c>
      <c r="H9" s="3">
        <f>IFERROR(Meal4[[#This Row],[Berechnete Menge '[g']]]*Meal4[[#This Row],[Kaloriendichte '[kcal/g']]],"")</f>
        <v>47.745175265852623</v>
      </c>
      <c r="I9" s="7">
        <f>IFERROR(Meal4[[#This Row],[Berechnete Menge '[g']]]*Meal4[[#This Row],[Proteindichte '[g/g']]],"")</f>
        <v>11.520283576211089</v>
      </c>
      <c r="J9" s="1">
        <f>IFERROR(VLOOKUP(Meal4[[#This Row],[Zutat '[Name aus Tabelle']]],Tabelle2[],13,FALSE),"")</f>
        <v>3.73</v>
      </c>
      <c r="K9" s="1">
        <f>IFERROR(VLOOKUP(Meal4[[#This Row],[Zutat '[Name aus Tabelle']]],Tabelle2[],14,FALSE),"")</f>
        <v>0.9</v>
      </c>
      <c r="L9" s="3">
        <f>IFERROR(Meal4[[#This Row],[Kaloriendichte '[kcal/g']]]*Meal4[[#This Row],[Menge '[g']]],0)</f>
        <v>93.25</v>
      </c>
      <c r="M9" s="7">
        <f>IFERROR(Meal4[[#This Row],[Proteindichte '[g/g']]]*Meal4[[#This Row],[Menge '[g']]],0)</f>
        <v>22.5</v>
      </c>
      <c r="N9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9.04810644831114</v>
      </c>
      <c r="O9" s="7">
        <f>IFERROR(ABS(Meal4[[#This Row],[Massenanpassung]]-Meal4[[#This Row],[Menge '[g']]])/Meal4[[#This Row],[Menge '[g']]],1000000)</f>
        <v>0.63807574206755435</v>
      </c>
      <c r="P9" s="6"/>
    </row>
    <row r="10" spans="1:16" x14ac:dyDescent="0.55000000000000004">
      <c r="B10" s="3"/>
      <c r="C10" s="3"/>
      <c r="D10" s="3">
        <f>IF(ROW()-5=$N$29,Meal4[[#Totals],[Massenanpassung]]*$N$31,Meal4[[#This Row],[Menge '[g']]]*$N$31)</f>
        <v>0</v>
      </c>
      <c r="E10" s="3">
        <f>Meal4[[#This Row],[Berechnete Menge '[g']]]*Input!$B$7</f>
        <v>0</v>
      </c>
      <c r="F10" s="18">
        <f>IFERROR(Meal4[[#This Row],[Gesamtmenge '[g']]]*$L$36,"-")</f>
        <v>0</v>
      </c>
      <c r="G10" s="5" t="str">
        <f>IFERROR(VLOOKUP(Meal4[[#This Row],[Zutat '[Name aus Tabelle']]],Tabelle2[],11,FALSE)*Meal4[[#This Row],[Berechnete Menge '[g']]],"")</f>
        <v/>
      </c>
      <c r="H10" s="3" t="str">
        <f>IFERROR(Meal4[[#This Row],[Berechnete Menge '[g']]]*Meal4[[#This Row],[Kaloriendichte '[kcal/g']]],"")</f>
        <v/>
      </c>
      <c r="I10" s="7" t="str">
        <f>IFERROR(Meal4[[#This Row],[Berechnete Menge '[g']]]*Meal4[[#This Row],[Proteindichte '[g/g']]],"")</f>
        <v/>
      </c>
      <c r="J10" s="1" t="str">
        <f>IFERROR(VLOOKUP(Meal4[[#This Row],[Zutat '[Name aus Tabelle']]],Tabelle2[],13,FALSE),"")</f>
        <v/>
      </c>
      <c r="K10" s="1" t="str">
        <f>IFERROR(VLOOKUP(Meal4[[#This Row],[Zutat '[Name aus Tabelle']]],Tabelle2[],14,FALSE),"")</f>
        <v/>
      </c>
      <c r="L10" s="3">
        <f>IFERROR(Meal4[[#This Row],[Kaloriendichte '[kcal/g']]]*Meal4[[#This Row],[Menge '[g']]],0)</f>
        <v>0</v>
      </c>
      <c r="M10" s="7">
        <f>IFERROR(Meal4[[#This Row],[Proteindichte '[g/g']]]*Meal4[[#This Row],[Menge '[g']]],0)</f>
        <v>0</v>
      </c>
      <c r="N10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0" s="7">
        <f>IFERROR(ABS(Meal4[[#This Row],[Massenanpassung]]-Meal4[[#This Row],[Menge '[g']]])/Meal4[[#This Row],[Menge '[g']]],1000000)</f>
        <v>1000000</v>
      </c>
      <c r="P10" s="6"/>
    </row>
    <row r="11" spans="1:16" x14ac:dyDescent="0.55000000000000004">
      <c r="B11" s="3"/>
      <c r="C11" s="3"/>
      <c r="D11" s="3">
        <f>IF(ROW()-5=$N$29,Meal4[[#Totals],[Massenanpassung]]*$N$31,Meal4[[#This Row],[Menge '[g']]]*$N$31)</f>
        <v>0</v>
      </c>
      <c r="E11" s="3">
        <f>Meal4[[#This Row],[Berechnete Menge '[g']]]*Input!$B$7</f>
        <v>0</v>
      </c>
      <c r="F11" s="18">
        <f>IFERROR(Meal4[[#This Row],[Gesamtmenge '[g']]]*$L$36,"-")</f>
        <v>0</v>
      </c>
      <c r="G11" s="5" t="str">
        <f>IFERROR(VLOOKUP(Meal4[[#This Row],[Zutat '[Name aus Tabelle']]],Tabelle2[],11,FALSE)*Meal4[[#This Row],[Berechnete Menge '[g']]],"")</f>
        <v/>
      </c>
      <c r="H11" s="3" t="str">
        <f>IFERROR(Meal4[[#This Row],[Berechnete Menge '[g']]]*Meal4[[#This Row],[Kaloriendichte '[kcal/g']]],"")</f>
        <v/>
      </c>
      <c r="I11" s="7" t="str">
        <f>IFERROR(Meal4[[#This Row],[Berechnete Menge '[g']]]*Meal4[[#This Row],[Proteindichte '[g/g']]],"")</f>
        <v/>
      </c>
      <c r="J11" s="1" t="str">
        <f>IFERROR(VLOOKUP(Meal4[[#This Row],[Zutat '[Name aus Tabelle']]],Tabelle2[],13,FALSE),"")</f>
        <v/>
      </c>
      <c r="K11" s="1" t="str">
        <f>IFERROR(VLOOKUP(Meal4[[#This Row],[Zutat '[Name aus Tabelle']]],Tabelle2[],14,FALSE),"")</f>
        <v/>
      </c>
      <c r="L11" s="3">
        <f>IFERROR(Meal4[[#This Row],[Kaloriendichte '[kcal/g']]]*Meal4[[#This Row],[Menge '[g']]],0)</f>
        <v>0</v>
      </c>
      <c r="M11" s="7">
        <f>IFERROR(Meal4[[#This Row],[Proteindichte '[g/g']]]*Meal4[[#This Row],[Menge '[g']]],0)</f>
        <v>0</v>
      </c>
      <c r="N11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1" s="7">
        <f>IFERROR(ABS(Meal4[[#This Row],[Massenanpassung]]-Meal4[[#This Row],[Menge '[g']]])/Meal4[[#This Row],[Menge '[g']]],1000000)</f>
        <v>1000000</v>
      </c>
      <c r="P11" s="6"/>
    </row>
    <row r="12" spans="1:16" x14ac:dyDescent="0.55000000000000004">
      <c r="B12" s="3"/>
      <c r="C12" s="3"/>
      <c r="D12" s="3">
        <f>IF(ROW()-5=$N$29,Meal4[[#Totals],[Massenanpassung]]*$N$31,Meal4[[#This Row],[Menge '[g']]]*$N$31)</f>
        <v>0</v>
      </c>
      <c r="E12" s="3">
        <f>Meal4[[#This Row],[Berechnete Menge '[g']]]*Input!$B$7</f>
        <v>0</v>
      </c>
      <c r="F12" s="18">
        <f>IFERROR(Meal4[[#This Row],[Gesamtmenge '[g']]]*$L$36,"-")</f>
        <v>0</v>
      </c>
      <c r="G12" s="5" t="str">
        <f>IFERROR(VLOOKUP(Meal4[[#This Row],[Zutat '[Name aus Tabelle']]],Tabelle2[],11,FALSE)*Meal4[[#This Row],[Berechnete Menge '[g']]],"")</f>
        <v/>
      </c>
      <c r="H12" s="3" t="str">
        <f>IFERROR(Meal4[[#This Row],[Berechnete Menge '[g']]]*Meal4[[#This Row],[Kaloriendichte '[kcal/g']]],"")</f>
        <v/>
      </c>
      <c r="I12" s="7" t="s">
        <v>95</v>
      </c>
      <c r="J12" s="1" t="str">
        <f>IFERROR(VLOOKUP(Meal4[[#This Row],[Zutat '[Name aus Tabelle']]],Tabelle2[],13,FALSE),"")</f>
        <v/>
      </c>
      <c r="K12" s="1" t="str">
        <f>IFERROR(VLOOKUP(Meal4[[#This Row],[Zutat '[Name aus Tabelle']]],Tabelle2[],14,FALSE),"")</f>
        <v/>
      </c>
      <c r="L12" s="3">
        <f>IFERROR(Meal4[[#This Row],[Kaloriendichte '[kcal/g']]]*Meal4[[#This Row],[Menge '[g']]],0)</f>
        <v>0</v>
      </c>
      <c r="M12" s="7">
        <f>IFERROR(Meal4[[#This Row],[Proteindichte '[g/g']]]*Meal4[[#This Row],[Menge '[g']]],0)</f>
        <v>0</v>
      </c>
      <c r="N12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2" s="7">
        <f>IFERROR(ABS(Meal4[[#This Row],[Massenanpassung]]-Meal4[[#This Row],[Menge '[g']]])/Meal4[[#This Row],[Menge '[g']]],1000000)</f>
        <v>1000000</v>
      </c>
      <c r="P12" s="6"/>
    </row>
    <row r="13" spans="1:16" x14ac:dyDescent="0.55000000000000004">
      <c r="B13" s="3"/>
      <c r="C13" s="3"/>
      <c r="D13" s="3">
        <f>IF(ROW()-5=$N$29,Meal4[[#Totals],[Massenanpassung]]*$N$31,Meal4[[#This Row],[Menge '[g']]]*$N$31)</f>
        <v>0</v>
      </c>
      <c r="E13" s="3">
        <f>Meal4[[#This Row],[Berechnete Menge '[g']]]*Input!$B$7</f>
        <v>0</v>
      </c>
      <c r="F13" s="18">
        <f>IFERROR(Meal4[[#This Row],[Gesamtmenge '[g']]]*$L$36,"-")</f>
        <v>0</v>
      </c>
      <c r="G13" s="5" t="str">
        <f>IFERROR(VLOOKUP(Meal4[[#This Row],[Zutat '[Name aus Tabelle']]],Tabelle2[],11,FALSE)*Meal4[[#This Row],[Berechnete Menge '[g']]],"")</f>
        <v/>
      </c>
      <c r="H13" s="3" t="str">
        <f>IFERROR(Meal4[[#This Row],[Berechnete Menge '[g']]]*Meal4[[#This Row],[Kaloriendichte '[kcal/g']]],"")</f>
        <v/>
      </c>
      <c r="I13" s="7" t="str">
        <f>IFERROR(Meal4[[#This Row],[Berechnete Menge '[g']]]*Meal4[[#This Row],[Proteindichte '[g/g']]],"")</f>
        <v/>
      </c>
      <c r="J13" s="1" t="str">
        <f>IFERROR(VLOOKUP(Meal4[[#This Row],[Zutat '[Name aus Tabelle']]],Tabelle2[],13,FALSE),"")</f>
        <v/>
      </c>
      <c r="K13" s="1" t="str">
        <f>IFERROR(VLOOKUP(Meal4[[#This Row],[Zutat '[Name aus Tabelle']]],Tabelle2[],14,FALSE),"")</f>
        <v/>
      </c>
      <c r="L13" s="3">
        <f>IFERROR(Meal4[[#This Row],[Kaloriendichte '[kcal/g']]]*Meal4[[#This Row],[Menge '[g']]],0)</f>
        <v>0</v>
      </c>
      <c r="M13" s="7">
        <f>IFERROR(Meal4[[#This Row],[Proteindichte '[g/g']]]*Meal4[[#This Row],[Menge '[g']]],0)</f>
        <v>0</v>
      </c>
      <c r="N13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3" s="7">
        <f>IFERROR(ABS(Meal4[[#This Row],[Massenanpassung]]-Meal4[[#This Row],[Menge '[g']]])/Meal4[[#This Row],[Menge '[g']]],1000000)</f>
        <v>1000000</v>
      </c>
      <c r="P13" s="6"/>
    </row>
    <row r="14" spans="1:16" x14ac:dyDescent="0.55000000000000004">
      <c r="B14" s="3"/>
      <c r="C14" s="3"/>
      <c r="D14" s="3">
        <f>IF(ROW()-5=$N$29,Meal4[[#Totals],[Massenanpassung]]*$N$31,Meal4[[#This Row],[Menge '[g']]]*$N$31)</f>
        <v>0</v>
      </c>
      <c r="E14" s="3">
        <f>Meal4[[#This Row],[Berechnete Menge '[g']]]*Input!$B$7</f>
        <v>0</v>
      </c>
      <c r="F14" s="18">
        <f>IFERROR(Meal4[[#This Row],[Gesamtmenge '[g']]]*$L$36,"-")</f>
        <v>0</v>
      </c>
      <c r="G14" s="5" t="str">
        <f>IFERROR(VLOOKUP(Meal4[[#This Row],[Zutat '[Name aus Tabelle']]],Tabelle2[],11,FALSE)*Meal4[[#This Row],[Berechnete Menge '[g']]],"")</f>
        <v/>
      </c>
      <c r="H14" s="3" t="str">
        <f>IFERROR(Meal4[[#This Row],[Berechnete Menge '[g']]]*Meal4[[#This Row],[Kaloriendichte '[kcal/g']]],"")</f>
        <v/>
      </c>
      <c r="I14" s="7" t="str">
        <f>IFERROR(Meal4[[#This Row],[Berechnete Menge '[g']]]*Meal4[[#This Row],[Proteindichte '[g/g']]],"")</f>
        <v/>
      </c>
      <c r="J14" s="1" t="str">
        <f>IFERROR(VLOOKUP(Meal4[[#This Row],[Zutat '[Name aus Tabelle']]],Tabelle2[],13,FALSE),"")</f>
        <v/>
      </c>
      <c r="K14" s="1" t="str">
        <f>IFERROR(VLOOKUP(Meal4[[#This Row],[Zutat '[Name aus Tabelle']]],Tabelle2[],14,FALSE),"")</f>
        <v/>
      </c>
      <c r="L14" s="3">
        <f>IFERROR(Meal4[[#This Row],[Kaloriendichte '[kcal/g']]]*Meal4[[#This Row],[Menge '[g']]],0)</f>
        <v>0</v>
      </c>
      <c r="M14" s="7">
        <f>IFERROR(Meal4[[#This Row],[Proteindichte '[g/g']]]*Meal4[[#This Row],[Menge '[g']]],0)</f>
        <v>0</v>
      </c>
      <c r="N14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4" s="7">
        <f>IFERROR(ABS(Meal4[[#This Row],[Massenanpassung]]-Meal4[[#This Row],[Menge '[g']]])/Meal4[[#This Row],[Menge '[g']]],1000000)</f>
        <v>1000000</v>
      </c>
      <c r="P14" s="6"/>
    </row>
    <row r="15" spans="1:16" x14ac:dyDescent="0.55000000000000004">
      <c r="B15" s="3"/>
      <c r="C15" s="3"/>
      <c r="D15" s="3">
        <f>IF(ROW()-5=$N$29,Meal4[[#Totals],[Massenanpassung]]*$N$31,Meal4[[#This Row],[Menge '[g']]]*$N$31)</f>
        <v>0</v>
      </c>
      <c r="E15" s="3">
        <f>Meal4[[#This Row],[Berechnete Menge '[g']]]*Input!$B$7</f>
        <v>0</v>
      </c>
      <c r="F15" s="18">
        <f>IFERROR(Meal4[[#This Row],[Gesamtmenge '[g']]]*$L$36,"-")</f>
        <v>0</v>
      </c>
      <c r="G15" s="5" t="str">
        <f>IFERROR(VLOOKUP(Meal4[[#This Row],[Zutat '[Name aus Tabelle']]],Tabelle2[],11,FALSE)*Meal4[[#This Row],[Berechnete Menge '[g']]],"")</f>
        <v/>
      </c>
      <c r="H15" s="3" t="str">
        <f>IFERROR(Meal4[[#This Row],[Berechnete Menge '[g']]]*Meal4[[#This Row],[Kaloriendichte '[kcal/g']]],"")</f>
        <v/>
      </c>
      <c r="I15" s="7" t="str">
        <f>IFERROR(Meal4[[#This Row],[Berechnete Menge '[g']]]*Meal4[[#This Row],[Proteindichte '[g/g']]],"")</f>
        <v/>
      </c>
      <c r="J15" s="1" t="str">
        <f>IFERROR(VLOOKUP(Meal4[[#This Row],[Zutat '[Name aus Tabelle']]],Tabelle2[],13,FALSE),"")</f>
        <v/>
      </c>
      <c r="K15" s="1" t="str">
        <f>IFERROR(VLOOKUP(Meal4[[#This Row],[Zutat '[Name aus Tabelle']]],Tabelle2[],14,FALSE),"")</f>
        <v/>
      </c>
      <c r="L15" s="3">
        <f>IFERROR(Meal4[[#This Row],[Kaloriendichte '[kcal/g']]]*Meal4[[#This Row],[Menge '[g']]],0)</f>
        <v>0</v>
      </c>
      <c r="M15" s="7">
        <f>IFERROR(Meal4[[#This Row],[Proteindichte '[g/g']]]*Meal4[[#This Row],[Menge '[g']]],0)</f>
        <v>0</v>
      </c>
      <c r="N15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5" s="7">
        <f>IFERROR(ABS(Meal4[[#This Row],[Massenanpassung]]-Meal4[[#This Row],[Menge '[g']]])/Meal4[[#This Row],[Menge '[g']]],1000000)</f>
        <v>1000000</v>
      </c>
      <c r="P15" s="6"/>
    </row>
    <row r="16" spans="1:16" x14ac:dyDescent="0.55000000000000004">
      <c r="B16" s="3"/>
      <c r="C16" s="3"/>
      <c r="D16" s="3">
        <f>IF(ROW()-5=$N$29,Meal4[[#Totals],[Massenanpassung]]*$N$31,Meal4[[#This Row],[Menge '[g']]]*$N$31)</f>
        <v>0</v>
      </c>
      <c r="E16" s="3">
        <f>Meal4[[#This Row],[Berechnete Menge '[g']]]*Input!$B$7</f>
        <v>0</v>
      </c>
      <c r="F16" s="18">
        <f>IFERROR(Meal4[[#This Row],[Gesamtmenge '[g']]]*$L$36,"-")</f>
        <v>0</v>
      </c>
      <c r="G16" s="5" t="str">
        <f>IFERROR(VLOOKUP(Meal4[[#This Row],[Zutat '[Name aus Tabelle']]],Tabelle2[],11,FALSE)*Meal4[[#This Row],[Berechnete Menge '[g']]],"")</f>
        <v/>
      </c>
      <c r="H16" s="3" t="str">
        <f>IFERROR(Meal4[[#This Row],[Berechnete Menge '[g']]]*Meal4[[#This Row],[Kaloriendichte '[kcal/g']]],"")</f>
        <v/>
      </c>
      <c r="I16" s="7" t="str">
        <f>IFERROR(Meal4[[#This Row],[Berechnete Menge '[g']]]*Meal4[[#This Row],[Proteindichte '[g/g']]],"")</f>
        <v/>
      </c>
      <c r="J16" s="1" t="str">
        <f>IFERROR(VLOOKUP(Meal4[[#This Row],[Zutat '[Name aus Tabelle']]],Tabelle2[],13,FALSE),"")</f>
        <v/>
      </c>
      <c r="K16" s="1" t="str">
        <f>IFERROR(VLOOKUP(Meal4[[#This Row],[Zutat '[Name aus Tabelle']]],Tabelle2[],14,FALSE),"")</f>
        <v/>
      </c>
      <c r="L16" s="3">
        <f>IFERROR(Meal4[[#This Row],[Kaloriendichte '[kcal/g']]]*Meal4[[#This Row],[Menge '[g']]],0)</f>
        <v>0</v>
      </c>
      <c r="M16" s="7">
        <f>IFERROR(Meal4[[#This Row],[Proteindichte '[g/g']]]*Meal4[[#This Row],[Menge '[g']]],0)</f>
        <v>0</v>
      </c>
      <c r="N16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6" s="7">
        <f>IFERROR(ABS(Meal4[[#This Row],[Massenanpassung]]-Meal4[[#This Row],[Menge '[g']]])/Meal4[[#This Row],[Menge '[g']]],1000000)</f>
        <v>1000000</v>
      </c>
      <c r="P16" s="6"/>
    </row>
    <row r="17" spans="1:16" x14ac:dyDescent="0.55000000000000004">
      <c r="B17" s="3"/>
      <c r="C17" s="3"/>
      <c r="D17" s="3">
        <f>IF(ROW()-5=$N$29,Meal4[[#Totals],[Massenanpassung]]*$N$31,Meal4[[#This Row],[Menge '[g']]]*$N$31)</f>
        <v>0</v>
      </c>
      <c r="E17" s="3">
        <f>Meal4[[#This Row],[Berechnete Menge '[g']]]*Input!$B$7</f>
        <v>0</v>
      </c>
      <c r="F17" s="18">
        <f>IFERROR(Meal4[[#This Row],[Gesamtmenge '[g']]]*$L$36,"-")</f>
        <v>0</v>
      </c>
      <c r="G17" s="5" t="str">
        <f>IFERROR(VLOOKUP(Meal4[[#This Row],[Zutat '[Name aus Tabelle']]],Tabelle2[],11,FALSE)*Meal4[[#This Row],[Berechnete Menge '[g']]],"")</f>
        <v/>
      </c>
      <c r="H17" s="3" t="str">
        <f>IFERROR(Meal4[[#This Row],[Berechnete Menge '[g']]]*Meal4[[#This Row],[Kaloriendichte '[kcal/g']]],"")</f>
        <v/>
      </c>
      <c r="I17" s="7" t="str">
        <f>IFERROR(Meal4[[#This Row],[Berechnete Menge '[g']]]*Meal4[[#This Row],[Proteindichte '[g/g']]],"")</f>
        <v/>
      </c>
      <c r="J17" s="1" t="str">
        <f>IFERROR(VLOOKUP(Meal4[[#This Row],[Zutat '[Name aus Tabelle']]],Tabelle2[],13,FALSE),"")</f>
        <v/>
      </c>
      <c r="K17" s="1" t="str">
        <f>IFERROR(VLOOKUP(Meal4[[#This Row],[Zutat '[Name aus Tabelle']]],Tabelle2[],14,FALSE),"")</f>
        <v/>
      </c>
      <c r="L17" s="3">
        <f>IFERROR(Meal4[[#This Row],[Kaloriendichte '[kcal/g']]]*Meal4[[#This Row],[Menge '[g']]],0)</f>
        <v>0</v>
      </c>
      <c r="M17" s="7">
        <f>IFERROR(Meal4[[#This Row],[Proteindichte '[g/g']]]*Meal4[[#This Row],[Menge '[g']]],0)</f>
        <v>0</v>
      </c>
      <c r="N17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7" s="7">
        <f>IFERROR(ABS(Meal4[[#This Row],[Massenanpassung]]-Meal4[[#This Row],[Menge '[g']]])/Meal4[[#This Row],[Menge '[g']]],1000000)</f>
        <v>1000000</v>
      </c>
      <c r="P17" s="6"/>
    </row>
    <row r="18" spans="1:16" x14ac:dyDescent="0.55000000000000004">
      <c r="B18" s="3"/>
      <c r="C18" s="3"/>
      <c r="D18" s="3">
        <f>IF(ROW()-5=$N$29,Meal4[[#Totals],[Massenanpassung]]*$N$31,Meal4[[#This Row],[Menge '[g']]]*$N$31)</f>
        <v>0</v>
      </c>
      <c r="E18" s="3">
        <f>Meal4[[#This Row],[Berechnete Menge '[g']]]*Input!$B$7</f>
        <v>0</v>
      </c>
      <c r="F18" s="18">
        <f>IFERROR(Meal4[[#This Row],[Gesamtmenge '[g']]]*$L$36,"-")</f>
        <v>0</v>
      </c>
      <c r="G18" s="5" t="str">
        <f>IFERROR(VLOOKUP(Meal4[[#This Row],[Zutat '[Name aus Tabelle']]],Tabelle2[],11,FALSE)*Meal4[[#This Row],[Berechnete Menge '[g']]],"")</f>
        <v/>
      </c>
      <c r="H18" s="3" t="str">
        <f>IFERROR(Meal4[[#This Row],[Berechnete Menge '[g']]]*Meal4[[#This Row],[Kaloriendichte '[kcal/g']]],"")</f>
        <v/>
      </c>
      <c r="I18" s="7" t="str">
        <f>IFERROR(Meal4[[#This Row],[Berechnete Menge '[g']]]*Meal4[[#This Row],[Proteindichte '[g/g']]],"")</f>
        <v/>
      </c>
      <c r="J18" s="1" t="str">
        <f>IFERROR(VLOOKUP(Meal4[[#This Row],[Zutat '[Name aus Tabelle']]],Tabelle2[],13,FALSE),"")</f>
        <v/>
      </c>
      <c r="K18" s="1" t="str">
        <f>IFERROR(VLOOKUP(Meal4[[#This Row],[Zutat '[Name aus Tabelle']]],Tabelle2[],14,FALSE),"")</f>
        <v/>
      </c>
      <c r="L18" s="3">
        <f>IFERROR(Meal4[[#This Row],[Kaloriendichte '[kcal/g']]]*Meal4[[#This Row],[Menge '[g']]],0)</f>
        <v>0</v>
      </c>
      <c r="M18" s="7">
        <f>IFERROR(Meal4[[#This Row],[Proteindichte '[g/g']]]*Meal4[[#This Row],[Menge '[g']]],0)</f>
        <v>0</v>
      </c>
      <c r="N18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8" s="7">
        <f>IFERROR(ABS(Meal4[[#This Row],[Massenanpassung]]-Meal4[[#This Row],[Menge '[g']]])/Meal4[[#This Row],[Menge '[g']]],1000000)</f>
        <v>1000000</v>
      </c>
      <c r="P18" s="6"/>
    </row>
    <row r="19" spans="1:16" x14ac:dyDescent="0.55000000000000004">
      <c r="B19" s="3"/>
      <c r="C19" s="3"/>
      <c r="D19" s="3">
        <f>IF(ROW()-5=$N$29,Meal4[[#Totals],[Massenanpassung]]*$N$31,Meal4[[#This Row],[Menge '[g']]]*$N$31)</f>
        <v>0</v>
      </c>
      <c r="E19" s="3">
        <f>Meal4[[#This Row],[Berechnete Menge '[g']]]*Input!$B$7</f>
        <v>0</v>
      </c>
      <c r="F19" s="18">
        <f>IFERROR(Meal4[[#This Row],[Gesamtmenge '[g']]]*$L$36,"-")</f>
        <v>0</v>
      </c>
      <c r="G19" s="5" t="str">
        <f>IFERROR(VLOOKUP(Meal4[[#This Row],[Zutat '[Name aus Tabelle']]],Tabelle2[],11,FALSE)*Meal4[[#This Row],[Berechnete Menge '[g']]],"")</f>
        <v/>
      </c>
      <c r="H19" s="3" t="str">
        <f>IFERROR(Meal4[[#This Row],[Berechnete Menge '[g']]]*Meal4[[#This Row],[Kaloriendichte '[kcal/g']]],"")</f>
        <v/>
      </c>
      <c r="I19" s="7" t="str">
        <f>IFERROR(Meal4[[#This Row],[Berechnete Menge '[g']]]*Meal4[[#This Row],[Proteindichte '[g/g']]],"")</f>
        <v/>
      </c>
      <c r="J19" s="1" t="str">
        <f>IFERROR(VLOOKUP(Meal4[[#This Row],[Zutat '[Name aus Tabelle']]],Tabelle2[],13,FALSE),"")</f>
        <v/>
      </c>
      <c r="K19" s="1" t="str">
        <f>IFERROR(VLOOKUP(Meal4[[#This Row],[Zutat '[Name aus Tabelle']]],Tabelle2[],14,FALSE),"")</f>
        <v/>
      </c>
      <c r="L19" s="3">
        <f>IFERROR(Meal4[[#This Row],[Kaloriendichte '[kcal/g']]]*Meal4[[#This Row],[Menge '[g']]],0)</f>
        <v>0</v>
      </c>
      <c r="M19" s="7">
        <f>IFERROR(Meal4[[#This Row],[Proteindichte '[g/g']]]*Meal4[[#This Row],[Menge '[g']]],0)</f>
        <v>0</v>
      </c>
      <c r="N19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19" s="7">
        <f>IFERROR(ABS(Meal4[[#This Row],[Massenanpassung]]-Meal4[[#This Row],[Menge '[g']]])/Meal4[[#This Row],[Menge '[g']]],1000000)</f>
        <v>1000000</v>
      </c>
      <c r="P19" s="6"/>
    </row>
    <row r="20" spans="1:16" x14ac:dyDescent="0.55000000000000004">
      <c r="B20" s="3"/>
      <c r="C20" s="3"/>
      <c r="D20" s="3">
        <f>IF(ROW()-5=$N$29,Meal4[[#Totals],[Massenanpassung]]*$N$31,Meal4[[#This Row],[Menge '[g']]]*$N$31)</f>
        <v>0</v>
      </c>
      <c r="E20" s="3">
        <f>Meal4[[#This Row],[Berechnete Menge '[g']]]*Input!$B$7</f>
        <v>0</v>
      </c>
      <c r="F20" s="18">
        <f>IFERROR(Meal4[[#This Row],[Gesamtmenge '[g']]]*$L$36,"-")</f>
        <v>0</v>
      </c>
      <c r="G20" s="5" t="str">
        <f>IFERROR(VLOOKUP(Meal4[[#This Row],[Zutat '[Name aus Tabelle']]],Tabelle2[],11,FALSE)*Meal4[[#This Row],[Berechnete Menge '[g']]],"")</f>
        <v/>
      </c>
      <c r="H20" s="3" t="str">
        <f>IFERROR(Meal4[[#This Row],[Berechnete Menge '[g']]]*Meal4[[#This Row],[Kaloriendichte '[kcal/g']]],"")</f>
        <v/>
      </c>
      <c r="I20" s="7" t="str">
        <f>IFERROR(Meal4[[#This Row],[Berechnete Menge '[g']]]*Meal4[[#This Row],[Proteindichte '[g/g']]],"")</f>
        <v/>
      </c>
      <c r="J20" s="1" t="str">
        <f>IFERROR(VLOOKUP(Meal4[[#This Row],[Zutat '[Name aus Tabelle']]],Tabelle2[],13,FALSE),"")</f>
        <v/>
      </c>
      <c r="K20" s="1" t="str">
        <f>IFERROR(VLOOKUP(Meal4[[#This Row],[Zutat '[Name aus Tabelle']]],Tabelle2[],14,FALSE),"")</f>
        <v/>
      </c>
      <c r="L20" s="3">
        <f>IFERROR(Meal4[[#This Row],[Kaloriendichte '[kcal/g']]]*Meal4[[#This Row],[Menge '[g']]],0)</f>
        <v>0</v>
      </c>
      <c r="M20" s="7">
        <f>IFERROR(Meal4[[#This Row],[Proteindichte '[g/g']]]*Meal4[[#This Row],[Menge '[g']]],0)</f>
        <v>0</v>
      </c>
      <c r="N20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0" s="7">
        <f>IFERROR(ABS(Meal4[[#This Row],[Massenanpassung]]-Meal4[[#This Row],[Menge '[g']]])/Meal4[[#This Row],[Menge '[g']]],1000000)</f>
        <v>1000000</v>
      </c>
      <c r="P20" s="6"/>
    </row>
    <row r="21" spans="1:16" x14ac:dyDescent="0.55000000000000004">
      <c r="B21" s="3"/>
      <c r="C21" s="3"/>
      <c r="D21" s="3">
        <f>IF(ROW()-5=$N$29,Meal4[[#Totals],[Massenanpassung]]*$N$31,Meal4[[#This Row],[Menge '[g']]]*$N$31)</f>
        <v>0</v>
      </c>
      <c r="E21" s="3">
        <f>Meal4[[#This Row],[Berechnete Menge '[g']]]*Input!$B$7</f>
        <v>0</v>
      </c>
      <c r="F21" s="18">
        <f>IFERROR(Meal4[[#This Row],[Gesamtmenge '[g']]]*$L$36,"-")</f>
        <v>0</v>
      </c>
      <c r="G21" s="5" t="str">
        <f>IFERROR(VLOOKUP(Meal4[[#This Row],[Zutat '[Name aus Tabelle']]],Tabelle2[],11,FALSE)*Meal4[[#This Row],[Berechnete Menge '[g']]],"")</f>
        <v/>
      </c>
      <c r="H21" s="3" t="str">
        <f>IFERROR(Meal4[[#This Row],[Berechnete Menge '[g']]]*Meal4[[#This Row],[Kaloriendichte '[kcal/g']]],"")</f>
        <v/>
      </c>
      <c r="I21" s="7" t="str">
        <f>IFERROR(Meal4[[#This Row],[Berechnete Menge '[g']]]*Meal4[[#This Row],[Proteindichte '[g/g']]],"")</f>
        <v/>
      </c>
      <c r="J21" s="1" t="str">
        <f>IFERROR(VLOOKUP(Meal4[[#This Row],[Zutat '[Name aus Tabelle']]],Tabelle2[],13,FALSE),"")</f>
        <v/>
      </c>
      <c r="K21" s="1" t="str">
        <f>IFERROR(VLOOKUP(Meal4[[#This Row],[Zutat '[Name aus Tabelle']]],Tabelle2[],14,FALSE),"")</f>
        <v/>
      </c>
      <c r="L21" s="3">
        <f>IFERROR(Meal4[[#This Row],[Kaloriendichte '[kcal/g']]]*Meal4[[#This Row],[Menge '[g']]],0)</f>
        <v>0</v>
      </c>
      <c r="M21" s="7">
        <f>IFERROR(Meal4[[#This Row],[Proteindichte '[g/g']]]*Meal4[[#This Row],[Menge '[g']]],0)</f>
        <v>0</v>
      </c>
      <c r="N21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1" s="7">
        <f>IFERROR(ABS(Meal4[[#This Row],[Massenanpassung]]-Meal4[[#This Row],[Menge '[g']]])/Meal4[[#This Row],[Menge '[g']]],1000000)</f>
        <v>1000000</v>
      </c>
      <c r="P21" s="6"/>
    </row>
    <row r="22" spans="1:16" x14ac:dyDescent="0.55000000000000004">
      <c r="B22" s="4"/>
      <c r="C22" s="4"/>
      <c r="D22" s="4">
        <f>IF(ROW()-5=$N$29,Meal4[[#Totals],[Massenanpassung]]*$N$31,Meal4[[#This Row],[Menge '[g']]]*$N$31)</f>
        <v>0</v>
      </c>
      <c r="E22" s="4">
        <f>Meal4[[#This Row],[Berechnete Menge '[g']]]*Input!$B$7</f>
        <v>0</v>
      </c>
      <c r="F22" s="19">
        <f>IFERROR(Meal4[[#This Row],[Gesamtmenge '[g']]]*$L$36,"-")</f>
        <v>0</v>
      </c>
      <c r="G22" s="9" t="str">
        <f>IFERROR(VLOOKUP(Meal4[[#This Row],[Zutat '[Name aus Tabelle']]],Tabelle2[],11,FALSE)*Meal4[[#This Row],[Berechnete Menge '[g']]],"")</f>
        <v/>
      </c>
      <c r="H22" s="4" t="str">
        <f>IFERROR(Meal4[[#This Row],[Berechnete Menge '[g']]]*Meal4[[#This Row],[Kaloriendichte '[kcal/g']]],"")</f>
        <v/>
      </c>
      <c r="I22" s="7" t="str">
        <f>IFERROR(Meal4[[#This Row],[Berechnete Menge '[g']]]*Meal4[[#This Row],[Proteindichte '[g/g']]],"")</f>
        <v/>
      </c>
      <c r="J22" s="1" t="str">
        <f>IFERROR(VLOOKUP(Meal4[[#This Row],[Zutat '[Name aus Tabelle']]],Tabelle2[],13,FALSE),"")</f>
        <v/>
      </c>
      <c r="K22" s="1" t="str">
        <f>IFERROR(VLOOKUP(Meal4[[#This Row],[Zutat '[Name aus Tabelle']]],Tabelle2[],14,FALSE),"")</f>
        <v/>
      </c>
      <c r="L22" s="4">
        <f>IFERROR(Meal4[[#This Row],[Kaloriendichte '[kcal/g']]]*Meal4[[#This Row],[Menge '[g']]],0)</f>
        <v>0</v>
      </c>
      <c r="M22" s="8">
        <f>IFERROR(Meal4[[#This Row],[Proteindichte '[g/g']]]*Meal4[[#This Row],[Menge '[g']]],0)</f>
        <v>0</v>
      </c>
      <c r="N22" s="8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2" s="8">
        <f>IFERROR(ABS(Meal4[[#This Row],[Massenanpassung]]-Meal4[[#This Row],[Menge '[g']]])/Meal4[[#This Row],[Menge '[g']]],1000000)</f>
        <v>1000000</v>
      </c>
      <c r="P22" s="6"/>
    </row>
    <row r="23" spans="1:16" x14ac:dyDescent="0.55000000000000004">
      <c r="B23" s="3"/>
      <c r="C23" s="3"/>
      <c r="D23" s="3">
        <f>IF(ROW()-5=$N$29,Meal4[[#Totals],[Massenanpassung]]*$N$31,Meal4[[#This Row],[Menge '[g']]]*$N$31)</f>
        <v>0</v>
      </c>
      <c r="E23" s="3">
        <f>Meal4[[#This Row],[Berechnete Menge '[g']]]*Input!$B$7</f>
        <v>0</v>
      </c>
      <c r="F23" s="18">
        <f>IFERROR(Meal4[[#This Row],[Gesamtmenge '[g']]]*$L$36,"-")</f>
        <v>0</v>
      </c>
      <c r="G23" s="5" t="str">
        <f>IFERROR(VLOOKUP(Meal4[[#This Row],[Zutat '[Name aus Tabelle']]],Tabelle2[],11,FALSE)*Meal4[[#This Row],[Berechnete Menge '[g']]],"")</f>
        <v/>
      </c>
      <c r="H23" s="3" t="str">
        <f>IFERROR(Meal4[[#This Row],[Berechnete Menge '[g']]]*Meal4[[#This Row],[Kaloriendichte '[kcal/g']]],"")</f>
        <v/>
      </c>
      <c r="I23" s="7" t="str">
        <f>IFERROR(Meal4[[#This Row],[Berechnete Menge '[g']]]*Meal4[[#This Row],[Proteindichte '[g/g']]],"")</f>
        <v/>
      </c>
      <c r="J23" s="1" t="str">
        <f>IFERROR(VLOOKUP(Meal4[[#This Row],[Zutat '[Name aus Tabelle']]],Tabelle2[],13,FALSE),"")</f>
        <v/>
      </c>
      <c r="K23" s="1" t="str">
        <f>IFERROR(VLOOKUP(Meal4[[#This Row],[Zutat '[Name aus Tabelle']]],Tabelle2[],14,FALSE),"")</f>
        <v/>
      </c>
      <c r="L23" s="3">
        <f>IFERROR(Meal4[[#This Row],[Kaloriendichte '[kcal/g']]]*Meal4[[#This Row],[Menge '[g']]],0)</f>
        <v>0</v>
      </c>
      <c r="M23" s="7">
        <f>IFERROR(Meal4[[#This Row],[Proteindichte '[g/g']]]*Meal4[[#This Row],[Menge '[g']]],0)</f>
        <v>0</v>
      </c>
      <c r="N23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3" s="7">
        <f>IFERROR(ABS(Meal4[[#This Row],[Massenanpassung]]-Meal4[[#This Row],[Menge '[g']]])/Meal4[[#This Row],[Menge '[g']]],1000000)</f>
        <v>1000000</v>
      </c>
      <c r="P23" s="6"/>
    </row>
    <row r="24" spans="1:16" x14ac:dyDescent="0.55000000000000004">
      <c r="B24" s="3"/>
      <c r="C24" s="3"/>
      <c r="D24" s="3">
        <f>IF(ROW()-5=$N$29,Meal4[[#Totals],[Massenanpassung]]*$N$31,Meal4[[#This Row],[Menge '[g']]]*$N$31)</f>
        <v>0</v>
      </c>
      <c r="E24" s="3">
        <f>Meal4[[#This Row],[Berechnete Menge '[g']]]*Input!$B$7</f>
        <v>0</v>
      </c>
      <c r="F24" s="18">
        <f>IFERROR(Meal4[[#This Row],[Gesamtmenge '[g']]]*$L$36,"-")</f>
        <v>0</v>
      </c>
      <c r="G24" s="5" t="str">
        <f>IFERROR(VLOOKUP(Meal4[[#This Row],[Zutat '[Name aus Tabelle']]],Tabelle2[],11,FALSE)*Meal4[[#This Row],[Berechnete Menge '[g']]],"")</f>
        <v/>
      </c>
      <c r="H24" s="3" t="str">
        <f>IFERROR(Meal4[[#This Row],[Berechnete Menge '[g']]]*Meal4[[#This Row],[Kaloriendichte '[kcal/g']]],"")</f>
        <v/>
      </c>
      <c r="I24" s="7" t="str">
        <f>IFERROR(Meal4[[#This Row],[Berechnete Menge '[g']]]*Meal4[[#This Row],[Proteindichte '[g/g']]],"")</f>
        <v/>
      </c>
      <c r="J24" s="1" t="str">
        <f>IFERROR(VLOOKUP(Meal4[[#This Row],[Zutat '[Name aus Tabelle']]],Tabelle2[],13,FALSE),"")</f>
        <v/>
      </c>
      <c r="K24" s="1" t="str">
        <f>IFERROR(VLOOKUP(Meal4[[#This Row],[Zutat '[Name aus Tabelle']]],Tabelle2[],14,FALSE),"")</f>
        <v/>
      </c>
      <c r="L24" s="3">
        <f>IFERROR(Meal4[[#This Row],[Kaloriendichte '[kcal/g']]]*Meal4[[#This Row],[Menge '[g']]],0)</f>
        <v>0</v>
      </c>
      <c r="M24" s="7">
        <f>IFERROR(Meal4[[#This Row],[Proteindichte '[g/g']]]*Meal4[[#This Row],[Menge '[g']]],0)</f>
        <v>0</v>
      </c>
      <c r="N24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4" s="7">
        <f>IFERROR(ABS(Meal4[[#This Row],[Massenanpassung]]-Meal4[[#This Row],[Menge '[g']]])/Meal4[[#This Row],[Menge '[g']]],1000000)</f>
        <v>1000000</v>
      </c>
      <c r="P24" s="6"/>
    </row>
    <row r="25" spans="1:16" x14ac:dyDescent="0.55000000000000004">
      <c r="B25" s="3"/>
      <c r="C25" s="3"/>
      <c r="D25" s="3">
        <f>IF(ROW()-5=$N$29,Meal4[[#Totals],[Massenanpassung]]*$N$31,Meal4[[#This Row],[Menge '[g']]]*$N$31)</f>
        <v>0</v>
      </c>
      <c r="E25" s="3">
        <f>Meal4[[#This Row],[Berechnete Menge '[g']]]*Input!$B$7</f>
        <v>0</v>
      </c>
      <c r="F25" s="18">
        <f>IFERROR(Meal4[[#This Row],[Gesamtmenge '[g']]]*$L$36,"-")</f>
        <v>0</v>
      </c>
      <c r="G25" s="5" t="str">
        <f>IFERROR(VLOOKUP(Meal4[[#This Row],[Zutat '[Name aus Tabelle']]],Tabelle2[],11,FALSE)*Meal4[[#This Row],[Berechnete Menge '[g']]],"")</f>
        <v/>
      </c>
      <c r="H25" s="3" t="str">
        <f>IFERROR(Meal4[[#This Row],[Berechnete Menge '[g']]]*Meal4[[#This Row],[Kaloriendichte '[kcal/g']]],"")</f>
        <v/>
      </c>
      <c r="I25" s="7" t="str">
        <f>IFERROR(Meal4[[#This Row],[Berechnete Menge '[g']]]*Meal4[[#This Row],[Proteindichte '[g/g']]],"")</f>
        <v/>
      </c>
      <c r="J25" s="1" t="str">
        <f>IFERROR(VLOOKUP(Meal4[[#This Row],[Zutat '[Name aus Tabelle']]],Tabelle2[],13,FALSE),"")</f>
        <v/>
      </c>
      <c r="K25" s="1" t="str">
        <f>IFERROR(VLOOKUP(Meal4[[#This Row],[Zutat '[Name aus Tabelle']]],Tabelle2[],14,FALSE),"")</f>
        <v/>
      </c>
      <c r="L25" s="3">
        <f>IFERROR(Meal4[[#This Row],[Kaloriendichte '[kcal/g']]]*Meal4[[#This Row],[Menge '[g']]],0)</f>
        <v>0</v>
      </c>
      <c r="M25" s="7">
        <f>IFERROR(Meal4[[#This Row],[Proteindichte '[g/g']]]*Meal4[[#This Row],[Menge '[g']]],0)</f>
        <v>0</v>
      </c>
      <c r="N25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5" s="7">
        <f>IFERROR(ABS(Meal4[[#This Row],[Massenanpassung]]-Meal4[[#This Row],[Menge '[g']]])/Meal4[[#This Row],[Menge '[g']]],1000000)</f>
        <v>1000000</v>
      </c>
      <c r="P25" s="6"/>
    </row>
    <row r="26" spans="1:16" x14ac:dyDescent="0.55000000000000004">
      <c r="B26" s="3"/>
      <c r="C26" s="3"/>
      <c r="D26" s="3">
        <f>IF(ROW()-5=$N$29,Meal4[[#Totals],[Massenanpassung]]*$N$31,Meal4[[#This Row],[Menge '[g']]]*$N$31)</f>
        <v>0</v>
      </c>
      <c r="E26" s="3">
        <f>Meal4[[#This Row],[Berechnete Menge '[g']]]*Input!$B$7</f>
        <v>0</v>
      </c>
      <c r="F26" s="18">
        <f>IFERROR(Meal4[[#This Row],[Gesamtmenge '[g']]]*$L$36,"-")</f>
        <v>0</v>
      </c>
      <c r="G26" s="5" t="str">
        <f>IFERROR(VLOOKUP(Meal4[[#This Row],[Zutat '[Name aus Tabelle']]],Tabelle2[],11,FALSE)*Meal4[[#This Row],[Berechnete Menge '[g']]],"")</f>
        <v/>
      </c>
      <c r="H26" s="3" t="str">
        <f>IFERROR(Meal4[[#This Row],[Berechnete Menge '[g']]]*Meal4[[#This Row],[Kaloriendichte '[kcal/g']]],"")</f>
        <v/>
      </c>
      <c r="I26" s="7" t="str">
        <f>IFERROR(Meal4[[#This Row],[Berechnete Menge '[g']]]*Meal4[[#This Row],[Proteindichte '[g/g']]],"")</f>
        <v/>
      </c>
      <c r="J26" s="1" t="str">
        <f>IFERROR(VLOOKUP(Meal4[[#This Row],[Zutat '[Name aus Tabelle']]],Tabelle2[],13,FALSE),"")</f>
        <v/>
      </c>
      <c r="K26" s="1" t="str">
        <f>IFERROR(VLOOKUP(Meal4[[#This Row],[Zutat '[Name aus Tabelle']]],Tabelle2[],14,FALSE),"")</f>
        <v/>
      </c>
      <c r="L26" s="3">
        <f>IFERROR(Meal4[[#This Row],[Kaloriendichte '[kcal/g']]]*Meal4[[#This Row],[Menge '[g']]],0)</f>
        <v>0</v>
      </c>
      <c r="M26" s="7">
        <f>IFERROR(Meal4[[#This Row],[Proteindichte '[g/g']]]*Meal4[[#This Row],[Menge '[g']]],0)</f>
        <v>0</v>
      </c>
      <c r="N26" s="7">
        <f>IFERROR(($N$28*(Meal4[[#Totals],[Kalorien vorher '[kcal']]]-Meal4[[#This Row],[Kalorien vorher '[kcal']]])-(Meal4[[#Totals],[Proteine vorher '[g']]]-Meal4[[#This Row],[Proteine vorher '[g']]]))/(Meal4[[#This Row],[Proteindichte '[g/g']]]-$N$28*Meal4[[#This Row],[Kaloriendichte '[kcal/g']]]),1000000)</f>
        <v>1000000</v>
      </c>
      <c r="O26" s="7">
        <f>IFERROR(ABS(Meal4[[#This Row],[Massenanpassung]]-Meal4[[#This Row],[Menge '[g']]])/Meal4[[#This Row],[Menge '[g']]],1000000)</f>
        <v>1000000</v>
      </c>
      <c r="P26" s="6"/>
    </row>
    <row r="27" spans="1:16" x14ac:dyDescent="0.55000000000000004">
      <c r="A27" t="s">
        <v>19</v>
      </c>
      <c r="G27" s="5">
        <f>SUBTOTAL(109,Meal4[Kosten '[€']])</f>
        <v>2.063500770335704</v>
      </c>
      <c r="H27" s="3">
        <f>SUBTOTAL(109,Meal4[Kalorien '[kcal']])</f>
        <v>750.00000000000011</v>
      </c>
      <c r="I27" s="3">
        <f>SUBTOTAL(109,Meal4[Proteine '[g']])</f>
        <v>50</v>
      </c>
      <c r="L27" s="3">
        <f>SUBTOTAL(109,Meal4[Kalorien vorher '[kcal']])</f>
        <v>589.65</v>
      </c>
      <c r="M27" s="3">
        <f>SUBTOTAL(109,Meal4[Proteine vorher '[g']])</f>
        <v>49.7</v>
      </c>
      <c r="N27" s="7" cm="1">
        <f t="array" ref="N27">INDEX(Meal4[Massenanpassung],N29)</f>
        <v>9.04810644831114</v>
      </c>
      <c r="O27" s="7" cm="1">
        <f t="array" ref="O27">MIN(IF(Meal4[Massenanpassung]&lt;0,"",Meal4[Relative Abweichung]))</f>
        <v>0.63807574206755435</v>
      </c>
      <c r="P27" s="6"/>
    </row>
    <row r="28" spans="1:16" x14ac:dyDescent="0.55000000000000004">
      <c r="A28" s="14" t="s">
        <v>63</v>
      </c>
      <c r="B28" s="36"/>
      <c r="C28" s="36"/>
      <c r="D28" s="36"/>
      <c r="E28" s="36"/>
      <c r="F28" s="36"/>
      <c r="G28" s="36"/>
      <c r="H28" s="15">
        <f>'Meal 3'!H28-Meal4[[#Totals],[Kalorien '[kcal']]]</f>
        <v>0</v>
      </c>
      <c r="I28" s="15">
        <f>'Meal 3'!I28-Meal4[[#Totals],[Proteine '[g']]]</f>
        <v>0</v>
      </c>
      <c r="J28" s="6"/>
      <c r="K28" s="6"/>
      <c r="L28" s="6"/>
      <c r="M28" s="22" t="s">
        <v>91</v>
      </c>
      <c r="N28" s="23">
        <f>K4/K3</f>
        <v>6.6666666666666652E-2</v>
      </c>
      <c r="O28" s="6"/>
      <c r="P28" s="6"/>
    </row>
    <row r="29" spans="1:16" x14ac:dyDescent="0.55000000000000004">
      <c r="A29" s="6"/>
      <c r="B29" s="10"/>
      <c r="C29" s="10"/>
      <c r="D29" s="11"/>
      <c r="E29" s="11"/>
      <c r="F29" s="11"/>
      <c r="G29" s="6"/>
      <c r="H29" s="6"/>
      <c r="I29" s="6"/>
      <c r="J29" s="6"/>
      <c r="K29" s="6"/>
      <c r="L29" s="6"/>
      <c r="M29" s="22" t="s">
        <v>92</v>
      </c>
      <c r="N29" s="24">
        <f>MATCH(Meal4[[#Totals],[Relative Abweichung]],Meal4[Relative Abweichung],0)</f>
        <v>4</v>
      </c>
      <c r="O29" s="6"/>
      <c r="P29" s="6"/>
    </row>
    <row r="30" spans="1:16" x14ac:dyDescent="0.55000000000000004">
      <c r="A30" s="6"/>
      <c r="B30" s="10"/>
      <c r="C30" s="10"/>
      <c r="D30" s="11"/>
      <c r="E30" s="11"/>
      <c r="F30" s="11"/>
      <c r="G30" s="6"/>
      <c r="H30" s="6"/>
      <c r="I30" s="6"/>
      <c r="J30" s="6"/>
      <c r="K30" s="6"/>
      <c r="L30" s="6"/>
      <c r="M30" s="22" t="s">
        <v>93</v>
      </c>
      <c r="N30" s="24" cm="1">
        <f t="array" ref="N30">Meal4[[#Totals],[Kalorien vorher '[kcal']]]-INDEX(Meal4[Kalorien vorher '[kcal']],N29)+Meal4[[#Totals],[Massenanpassung]]*INDEX(Meal4[Kaloriendichte '[kcal/g']],N29)</f>
        <v>530.14943705220048</v>
      </c>
      <c r="O30" s="6"/>
      <c r="P30" s="6"/>
    </row>
    <row r="31" spans="1:16" x14ac:dyDescent="0.55000000000000004">
      <c r="A31" s="6"/>
      <c r="B31" s="10"/>
      <c r="C31" s="10"/>
      <c r="D31" s="11"/>
      <c r="E31" s="11"/>
      <c r="F31" s="11"/>
      <c r="G31" s="6"/>
      <c r="H31" s="6"/>
      <c r="I31" s="6"/>
      <c r="J31" s="6"/>
      <c r="K31" s="6"/>
      <c r="L31" s="6"/>
      <c r="M31" s="22" t="s">
        <v>94</v>
      </c>
      <c r="N31" s="25">
        <f>K3/N30</f>
        <v>1.414695456756945</v>
      </c>
      <c r="O31" s="6"/>
      <c r="P31" s="6"/>
    </row>
    <row r="35" spans="12:12" x14ac:dyDescent="0.55000000000000004">
      <c r="L35" s="3"/>
    </row>
  </sheetData>
  <mergeCells count="4">
    <mergeCell ref="A1:O2"/>
    <mergeCell ref="B3:J3"/>
    <mergeCell ref="B4:J4"/>
    <mergeCell ref="B28:G28"/>
  </mergeCells>
  <conditionalFormatting sqref="G6:G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:J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K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C682-EFBE-4C40-83E6-95219378E43F}">
  <dimension ref="A1:BN204"/>
  <sheetViews>
    <sheetView tabSelected="1" zoomScale="76" workbookViewId="0">
      <selection activeCell="J48" sqref="J48"/>
    </sheetView>
  </sheetViews>
  <sheetFormatPr baseColWidth="10" defaultColWidth="0" defaultRowHeight="14.4" outlineLevelCol="1" x14ac:dyDescent="0.55000000000000004"/>
  <cols>
    <col min="1" max="1" width="19.7890625" customWidth="1"/>
    <col min="2" max="2" width="11.3125" customWidth="1"/>
    <col min="3" max="3" width="13.05078125" customWidth="1"/>
    <col min="4" max="4" width="13.3125" customWidth="1"/>
    <col min="5" max="5" width="10.3671875" customWidth="1"/>
    <col min="6" max="6" width="12.1015625" customWidth="1"/>
    <col min="7" max="7" width="19.5234375" customWidth="1"/>
    <col min="8" max="8" width="16.41796875" customWidth="1"/>
    <col min="9" max="9" width="14" customWidth="1"/>
    <col min="10" max="10" width="22.734375" customWidth="1"/>
    <col min="11" max="11" width="13.05078125" customWidth="1"/>
    <col min="12" max="12" width="18.15625" customWidth="1"/>
    <col min="13" max="13" width="27.41796875" customWidth="1"/>
    <col min="14" max="14" width="24.734375" customWidth="1"/>
    <col min="15" max="16" width="10.89453125" customWidth="1"/>
    <col min="17" max="16384" width="0" hidden="1" outlineLevel="1"/>
  </cols>
  <sheetData>
    <row r="1" spans="1:66" ht="14.5" customHeight="1" x14ac:dyDescent="0.55000000000000004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</row>
    <row r="2" spans="1:66" ht="14.5" customHeight="1" x14ac:dyDescent="0.55000000000000004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pans="1:66" ht="14.5" customHeight="1" thickBot="1" x14ac:dyDescent="0.6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spans="1:66" ht="14.7" thickBot="1" x14ac:dyDescent="0.6">
      <c r="A4" s="37" t="s">
        <v>47</v>
      </c>
      <c r="B4" s="38"/>
      <c r="C4" s="38"/>
      <c r="D4" s="38"/>
      <c r="E4" s="38"/>
      <c r="F4" s="39"/>
      <c r="G4" s="37" t="s">
        <v>13</v>
      </c>
      <c r="H4" s="38"/>
      <c r="I4" s="38"/>
      <c r="J4" s="39"/>
      <c r="K4" s="37" t="s">
        <v>50</v>
      </c>
      <c r="L4" s="38"/>
      <c r="M4" s="38"/>
      <c r="N4" s="39"/>
      <c r="O4" s="6"/>
      <c r="P4" s="6"/>
    </row>
    <row r="5" spans="1:66" x14ac:dyDescent="0.55000000000000004">
      <c r="A5" t="s">
        <v>1</v>
      </c>
      <c r="B5" t="s">
        <v>53</v>
      </c>
      <c r="C5" t="s">
        <v>12</v>
      </c>
      <c r="D5" t="s">
        <v>42</v>
      </c>
      <c r="E5" t="s">
        <v>3</v>
      </c>
      <c r="F5" t="s">
        <v>2</v>
      </c>
      <c r="G5" t="s">
        <v>9</v>
      </c>
      <c r="H5" t="s">
        <v>14</v>
      </c>
      <c r="I5" t="s">
        <v>10</v>
      </c>
      <c r="J5" t="s">
        <v>11</v>
      </c>
      <c r="K5" t="s">
        <v>29</v>
      </c>
      <c r="L5" t="s">
        <v>48</v>
      </c>
      <c r="M5" t="s">
        <v>23</v>
      </c>
      <c r="N5" t="s">
        <v>22</v>
      </c>
      <c r="O5" s="6"/>
      <c r="P5" s="6"/>
    </row>
    <row r="6" spans="1:66" x14ac:dyDescent="0.55000000000000004">
      <c r="A6" s="40" t="s">
        <v>72</v>
      </c>
      <c r="D6" t="s">
        <v>45</v>
      </c>
      <c r="E6" s="5">
        <v>1.05</v>
      </c>
      <c r="F6">
        <v>1000</v>
      </c>
      <c r="G6">
        <v>64</v>
      </c>
      <c r="H6">
        <v>3.5</v>
      </c>
      <c r="I6">
        <v>3.5</v>
      </c>
      <c r="J6">
        <v>4.7</v>
      </c>
      <c r="K6" s="12">
        <f>IFERROR(Tabelle2[[#This Row],[Preis '[€']]]/(Tabelle2[[#This Row],[Menge '[g']]]),"")</f>
        <v>1.0500000000000002E-3</v>
      </c>
      <c r="L6" s="12">
        <f>IFERROR(Tabelle2[[#This Row],[Preis '[€']]]/(Tabelle2[[#This Row],[Menge '[g']]]*Tabelle2[[#This Row],[Eiweiß '[g/100g']]]/100),"")</f>
        <v>3.0000000000000002E-2</v>
      </c>
      <c r="M6" s="2">
        <f>IF(Tabelle2[[#This Row],[Kalorien '[kcal/100g']]]/100&lt;&gt;0,Tabelle2[[#This Row],[Kalorien '[kcal/100g']]]/100,"")</f>
        <v>0.64</v>
      </c>
      <c r="N6" s="1">
        <f>IF(Tabelle2[[#This Row],[Eiweiß '[g/100g']]]/100&lt;&gt;0,Tabelle2[[#This Row],[Eiweiß '[g/100g']]]/100,"")</f>
        <v>3.5000000000000003E-2</v>
      </c>
      <c r="O6" s="6"/>
      <c r="P6" s="6"/>
    </row>
    <row r="7" spans="1:66" x14ac:dyDescent="0.55000000000000004">
      <c r="A7" t="s">
        <v>26</v>
      </c>
      <c r="D7" t="s">
        <v>44</v>
      </c>
      <c r="E7" s="5">
        <v>2.39</v>
      </c>
      <c r="F7">
        <v>2000</v>
      </c>
      <c r="G7">
        <v>69</v>
      </c>
      <c r="H7">
        <v>2</v>
      </c>
      <c r="I7">
        <v>0.02</v>
      </c>
      <c r="J7">
        <v>14</v>
      </c>
      <c r="K7" s="12">
        <f>IFERROR(Tabelle2[[#This Row],[Preis '[€']]]/(Tabelle2[[#This Row],[Menge '[g']]]),"")</f>
        <v>1.1950000000000001E-3</v>
      </c>
      <c r="L7" s="12">
        <f>IFERROR(Tabelle2[[#This Row],[Preis '[€']]]/(Tabelle2[[#This Row],[Menge '[g']]]*Tabelle2[[#This Row],[Eiweiß '[g/100g']]]/100),"")</f>
        <v>5.9750000000000004E-2</v>
      </c>
      <c r="M7" s="2">
        <f>IF(Tabelle2[[#This Row],[Kalorien '[kcal/100g']]]/100&lt;&gt;0,Tabelle2[[#This Row],[Kalorien '[kcal/100g']]]/100,"")</f>
        <v>0.69</v>
      </c>
      <c r="N7" s="1">
        <f>IF(Tabelle2[[#This Row],[Eiweiß '[g/100g']]]/100&lt;&gt;0,Tabelle2[[#This Row],[Eiweiß '[g/100g']]]/100,"")</f>
        <v>0.02</v>
      </c>
      <c r="O7" s="6"/>
      <c r="P7" s="6"/>
    </row>
    <row r="8" spans="1:66" x14ac:dyDescent="0.55000000000000004">
      <c r="A8" t="s">
        <v>71</v>
      </c>
      <c r="B8" t="s">
        <v>75</v>
      </c>
      <c r="C8" t="s">
        <v>66</v>
      </c>
      <c r="D8" t="s">
        <v>74</v>
      </c>
      <c r="E8" s="5">
        <v>1.49</v>
      </c>
      <c r="F8">
        <v>1000</v>
      </c>
      <c r="G8">
        <v>52</v>
      </c>
      <c r="H8">
        <v>0.3</v>
      </c>
      <c r="I8">
        <v>0.2</v>
      </c>
      <c r="J8">
        <v>14</v>
      </c>
      <c r="K8" s="12">
        <f>IFERROR(Tabelle2[[#This Row],[Preis '[€']]]/(Tabelle2[[#This Row],[Menge '[g']]]),"")</f>
        <v>1.49E-3</v>
      </c>
      <c r="L8" s="12">
        <f>IFERROR(Tabelle2[[#This Row],[Preis '[€']]]/(Tabelle2[[#This Row],[Menge '[g']]]*Tabelle2[[#This Row],[Eiweiß '[g/100g']]]/100),"")</f>
        <v>0.49666666666666665</v>
      </c>
      <c r="M8" s="2">
        <f>IF(Tabelle2[[#This Row],[Kalorien '[kcal/100g']]]/100&lt;&gt;0,Tabelle2[[#This Row],[Kalorien '[kcal/100g']]]/100,"")</f>
        <v>0.52</v>
      </c>
      <c r="N8" s="1">
        <f>IF(Tabelle2[[#This Row],[Eiweiß '[g/100g']]]/100&lt;&gt;0,Tabelle2[[#This Row],[Eiweiß '[g/100g']]]/100,"")</f>
        <v>3.0000000000000001E-3</v>
      </c>
      <c r="O8" s="6"/>
      <c r="P8" s="6"/>
    </row>
    <row r="9" spans="1:66" x14ac:dyDescent="0.55000000000000004">
      <c r="A9" t="s">
        <v>57</v>
      </c>
      <c r="B9" t="s">
        <v>58</v>
      </c>
      <c r="C9" t="s">
        <v>7</v>
      </c>
      <c r="D9" t="s">
        <v>44</v>
      </c>
      <c r="E9" s="5">
        <v>0.79</v>
      </c>
      <c r="F9">
        <v>500</v>
      </c>
      <c r="G9">
        <v>372</v>
      </c>
      <c r="H9">
        <v>13.5</v>
      </c>
      <c r="I9">
        <v>1.3</v>
      </c>
      <c r="J9">
        <v>58.7</v>
      </c>
      <c r="K9" s="12">
        <f>IFERROR(Tabelle2[[#This Row],[Preis '[€']]]/(Tabelle2[[#This Row],[Menge '[g']]]),"")</f>
        <v>1.58E-3</v>
      </c>
      <c r="L9" s="12">
        <f>IFERROR(Tabelle2[[#This Row],[Preis '[€']]]/(Tabelle2[[#This Row],[Menge '[g']]]*Tabelle2[[#This Row],[Eiweiß '[g/100g']]]/100),"")</f>
        <v>1.1703703703703704E-2</v>
      </c>
      <c r="M9" s="2">
        <f>IF(Tabelle2[[#This Row],[Kalorien '[kcal/100g']]]/100&lt;&gt;0,Tabelle2[[#This Row],[Kalorien '[kcal/100g']]]/100,"")</f>
        <v>3.72</v>
      </c>
      <c r="N9" s="1">
        <f>IF(Tabelle2[[#This Row],[Eiweiß '[g/100g']]]/100&lt;&gt;0,Tabelle2[[#This Row],[Eiweiß '[g/100g']]]/100,"")</f>
        <v>0.13500000000000001</v>
      </c>
      <c r="O9" s="6"/>
      <c r="P9" s="6"/>
    </row>
    <row r="10" spans="1:66" x14ac:dyDescent="0.55000000000000004">
      <c r="A10" t="s">
        <v>85</v>
      </c>
      <c r="D10" t="s">
        <v>60</v>
      </c>
      <c r="E10" s="5">
        <v>1</v>
      </c>
      <c r="F10">
        <v>500</v>
      </c>
      <c r="G10">
        <v>331</v>
      </c>
      <c r="H10">
        <v>0.5</v>
      </c>
      <c r="I10">
        <v>0</v>
      </c>
      <c r="J10">
        <v>81</v>
      </c>
      <c r="K10" s="12">
        <f>IFERROR(Tabelle2[[#This Row],[Preis '[€']]]/(Tabelle2[[#This Row],[Menge '[g']]]),"")</f>
        <v>2E-3</v>
      </c>
      <c r="L10" s="12">
        <f>IFERROR(Tabelle2[[#This Row],[Preis '[€']]]/(Tabelle2[[#This Row],[Menge '[g']]]*Tabelle2[[#This Row],[Eiweiß '[g/100g']]]/100),"")</f>
        <v>0.4</v>
      </c>
      <c r="M10" s="2">
        <f>IF(Tabelle2[[#This Row],[Kalorien '[kcal/100g']]]/100&lt;&gt;0,Tabelle2[[#This Row],[Kalorien '[kcal/100g']]]/100,"")</f>
        <v>3.31</v>
      </c>
      <c r="N10" s="1">
        <f>IF(Tabelle2[[#This Row],[Eiweiß '[g/100g']]]/100&lt;&gt;0,Tabelle2[[#This Row],[Eiweiß '[g/100g']]]/100,"")</f>
        <v>5.0000000000000001E-3</v>
      </c>
      <c r="O10" s="6"/>
      <c r="P10" s="6"/>
    </row>
    <row r="11" spans="1:66" x14ac:dyDescent="0.55000000000000004">
      <c r="A11" t="s">
        <v>68</v>
      </c>
      <c r="C11" t="s">
        <v>7</v>
      </c>
      <c r="D11" t="s">
        <v>46</v>
      </c>
      <c r="E11" s="5">
        <v>0.99</v>
      </c>
      <c r="F11">
        <v>400</v>
      </c>
      <c r="G11">
        <v>189</v>
      </c>
      <c r="H11">
        <v>2</v>
      </c>
      <c r="I11">
        <v>18.7</v>
      </c>
      <c r="J11">
        <v>3.1</v>
      </c>
      <c r="K11" s="12">
        <f>IFERROR(Tabelle2[[#This Row],[Preis '[€']]]/(Tabelle2[[#This Row],[Menge '[g']]]),"")</f>
        <v>2.4749999999999998E-3</v>
      </c>
      <c r="L11" s="12">
        <f>IFERROR(Tabelle2[[#This Row],[Preis '[€']]]/(Tabelle2[[#This Row],[Menge '[g']]]*Tabelle2[[#This Row],[Eiweiß '[g/100g']]]/100),"")</f>
        <v>0.12375</v>
      </c>
      <c r="M11" s="2">
        <f>IF(Tabelle2[[#This Row],[Kalorien '[kcal/100g']]]/100&lt;&gt;0,Tabelle2[[#This Row],[Kalorien '[kcal/100g']]]/100,"")</f>
        <v>1.89</v>
      </c>
      <c r="N11" s="1">
        <f>IF(Tabelle2[[#This Row],[Eiweiß '[g/100g']]]/100&lt;&gt;0,Tabelle2[[#This Row],[Eiweiß '[g/100g']]]/100,"")</f>
        <v>0.02</v>
      </c>
      <c r="O11" s="6"/>
      <c r="P11" s="6"/>
    </row>
    <row r="12" spans="1:66" x14ac:dyDescent="0.55000000000000004">
      <c r="A12" t="s">
        <v>84</v>
      </c>
      <c r="C12" t="s">
        <v>7</v>
      </c>
      <c r="D12" t="s">
        <v>44</v>
      </c>
      <c r="E12" s="5">
        <v>2.69</v>
      </c>
      <c r="F12">
        <v>1000</v>
      </c>
      <c r="G12">
        <v>352</v>
      </c>
      <c r="H12">
        <v>8.4</v>
      </c>
      <c r="I12">
        <v>1</v>
      </c>
      <c r="J12">
        <v>77</v>
      </c>
      <c r="K12" s="12">
        <f>IFERROR(Tabelle2[[#This Row],[Preis '[€']]]/(Tabelle2[[#This Row],[Menge '[g']]]),"")</f>
        <v>2.6900000000000001E-3</v>
      </c>
      <c r="L12" s="12">
        <f>IFERROR(Tabelle2[[#This Row],[Preis '[€']]]/(Tabelle2[[#This Row],[Menge '[g']]]*Tabelle2[[#This Row],[Eiweiß '[g/100g']]]/100),"")</f>
        <v>3.2023809523809524E-2</v>
      </c>
      <c r="M12" s="2">
        <f>IF(Tabelle2[[#This Row],[Kalorien '[kcal/100g']]]/100&lt;&gt;0,Tabelle2[[#This Row],[Kalorien '[kcal/100g']]]/100,"")</f>
        <v>3.52</v>
      </c>
      <c r="N12" s="1">
        <f>IF(Tabelle2[[#This Row],[Eiweiß '[g/100g']]]/100&lt;&gt;0,Tabelle2[[#This Row],[Eiweiß '[g/100g']]]/100,"")</f>
        <v>8.4000000000000005E-2</v>
      </c>
      <c r="O12" s="6"/>
      <c r="P12" s="6"/>
    </row>
    <row r="13" spans="1:66" x14ac:dyDescent="0.55000000000000004">
      <c r="A13" s="40" t="s">
        <v>5</v>
      </c>
      <c r="B13" t="s">
        <v>55</v>
      </c>
      <c r="C13" t="s">
        <v>7</v>
      </c>
      <c r="D13" t="s">
        <v>45</v>
      </c>
      <c r="E13" s="5">
        <v>1.49</v>
      </c>
      <c r="F13">
        <v>500</v>
      </c>
      <c r="G13">
        <v>66</v>
      </c>
      <c r="H13">
        <v>12</v>
      </c>
      <c r="I13">
        <v>0.3</v>
      </c>
      <c r="J13">
        <v>3.9</v>
      </c>
      <c r="K13" s="12">
        <f>IFERROR(Tabelle2[[#This Row],[Preis '[€']]]/(Tabelle2[[#This Row],[Menge '[g']]]),"")</f>
        <v>2.98E-3</v>
      </c>
      <c r="L13" s="12">
        <f>IFERROR(Tabelle2[[#This Row],[Preis '[€']]]/(Tabelle2[[#This Row],[Menge '[g']]]*Tabelle2[[#This Row],[Eiweiß '[g/100g']]]/100),"")</f>
        <v>2.4833333333333332E-2</v>
      </c>
      <c r="M13" s="2">
        <f>IF(Tabelle2[[#This Row],[Kalorien '[kcal/100g']]]/100&lt;&gt;0,Tabelle2[[#This Row],[Kalorien '[kcal/100g']]]/100,"")</f>
        <v>0.66</v>
      </c>
      <c r="N13" s="1">
        <f>IF(Tabelle2[[#This Row],[Eiweiß '[g/100g']]]/100&lt;&gt;0,Tabelle2[[#This Row],[Eiweiß '[g/100g']]]/100,"")</f>
        <v>0.12</v>
      </c>
      <c r="O13" s="6"/>
      <c r="P13" s="6"/>
    </row>
    <row r="14" spans="1:66" x14ac:dyDescent="0.55000000000000004">
      <c r="A14" t="s">
        <v>4</v>
      </c>
      <c r="C14" t="s">
        <v>7</v>
      </c>
      <c r="D14" t="s">
        <v>45</v>
      </c>
      <c r="E14" s="5">
        <v>1.49</v>
      </c>
      <c r="F14">
        <v>500</v>
      </c>
      <c r="G14">
        <v>62</v>
      </c>
      <c r="H14">
        <v>11</v>
      </c>
      <c r="I14">
        <v>0.2</v>
      </c>
      <c r="J14">
        <v>4</v>
      </c>
      <c r="K14" s="12">
        <f>IFERROR(Tabelle2[[#This Row],[Preis '[€']]]/(Tabelle2[[#This Row],[Menge '[g']]]),"")</f>
        <v>2.98E-3</v>
      </c>
      <c r="L14" s="12">
        <f>IFERROR(Tabelle2[[#This Row],[Preis '[€']]]/(Tabelle2[[#This Row],[Menge '[g']]]*Tabelle2[[#This Row],[Eiweiß '[g/100g']]]/100),"")</f>
        <v>2.7090909090909089E-2</v>
      </c>
      <c r="M14" s="2">
        <f>IF(Tabelle2[[#This Row],[Kalorien '[kcal/100g']]]/100&lt;&gt;0,Tabelle2[[#This Row],[Kalorien '[kcal/100g']]]/100,"")</f>
        <v>0.62</v>
      </c>
      <c r="N14" s="1">
        <f>IF(Tabelle2[[#This Row],[Eiweiß '[g/100g']]]/100&lt;&gt;0,Tabelle2[[#This Row],[Eiweiß '[g/100g']]]/100,"")</f>
        <v>0.11</v>
      </c>
      <c r="O14" s="6"/>
      <c r="P14" s="6"/>
    </row>
    <row r="15" spans="1:66" x14ac:dyDescent="0.55000000000000004">
      <c r="A15" t="s">
        <v>67</v>
      </c>
      <c r="D15" t="s">
        <v>43</v>
      </c>
      <c r="E15" s="5">
        <v>1.49</v>
      </c>
      <c r="F15">
        <v>500</v>
      </c>
      <c r="G15">
        <v>43</v>
      </c>
      <c r="H15">
        <v>4</v>
      </c>
      <c r="I15">
        <v>0.2</v>
      </c>
      <c r="J15">
        <v>2.9</v>
      </c>
      <c r="K15" s="12">
        <f>IFERROR(Tabelle2[[#This Row],[Preis '[€']]]/(Tabelle2[[#This Row],[Menge '[g']]]),"")</f>
        <v>2.98E-3</v>
      </c>
      <c r="L15" s="12">
        <f>IFERROR(Tabelle2[[#This Row],[Preis '[€']]]/(Tabelle2[[#This Row],[Menge '[g']]]*Tabelle2[[#This Row],[Eiweiß '[g/100g']]]/100),"")</f>
        <v>7.4499999999999997E-2</v>
      </c>
      <c r="M15" s="2">
        <f>IF(Tabelle2[[#This Row],[Kalorien '[kcal/100g']]]/100&lt;&gt;0,Tabelle2[[#This Row],[Kalorien '[kcal/100g']]]/100,"")</f>
        <v>0.43</v>
      </c>
      <c r="N15" s="1">
        <f>IF(Tabelle2[[#This Row],[Eiweiß '[g/100g']]]/100&lt;&gt;0,Tabelle2[[#This Row],[Eiweiß '[g/100g']]]/100,"")</f>
        <v>0.04</v>
      </c>
      <c r="O15" s="6"/>
      <c r="P15" s="6"/>
    </row>
    <row r="16" spans="1:66" x14ac:dyDescent="0.55000000000000004">
      <c r="A16" t="s">
        <v>52</v>
      </c>
      <c r="C16" t="s">
        <v>7</v>
      </c>
      <c r="D16" t="s">
        <v>45</v>
      </c>
      <c r="E16" s="5">
        <v>2.4900000000000002</v>
      </c>
      <c r="F16">
        <v>630</v>
      </c>
      <c r="G16">
        <v>155</v>
      </c>
      <c r="H16">
        <v>12.9</v>
      </c>
      <c r="I16">
        <v>10.6</v>
      </c>
      <c r="J16">
        <v>1.1200000000000001</v>
      </c>
      <c r="K16" s="12">
        <f>IFERROR(Tabelle2[[#This Row],[Preis '[€']]]/(Tabelle2[[#This Row],[Menge '[g']]]),"")</f>
        <v>3.9523809523809529E-3</v>
      </c>
      <c r="L16" s="12">
        <f>IFERROR(Tabelle2[[#This Row],[Preis '[€']]]/(Tabelle2[[#This Row],[Menge '[g']]]*Tabelle2[[#This Row],[Eiweiß '[g/100g']]]/100),"")</f>
        <v>3.0638612033960875E-2</v>
      </c>
      <c r="M16" s="2">
        <f>IF(Tabelle2[[#This Row],[Kalorien '[kcal/100g']]]/100&lt;&gt;0,Tabelle2[[#This Row],[Kalorien '[kcal/100g']]]/100,"")</f>
        <v>1.55</v>
      </c>
      <c r="N16" s="1">
        <f>IF(Tabelle2[[#This Row],[Eiweiß '[g/100g']]]/100&lt;&gt;0,Tabelle2[[#This Row],[Eiweiß '[g/100g']]]/100,"")</f>
        <v>0.129</v>
      </c>
      <c r="O16" s="6"/>
      <c r="P16" s="6"/>
    </row>
    <row r="17" spans="1:16" x14ac:dyDescent="0.55000000000000004">
      <c r="A17" t="s">
        <v>62</v>
      </c>
      <c r="B17" t="s">
        <v>61</v>
      </c>
      <c r="C17" t="s">
        <v>7</v>
      </c>
      <c r="D17" t="s">
        <v>60</v>
      </c>
      <c r="E17" s="5">
        <v>2.99</v>
      </c>
      <c r="F17">
        <v>750</v>
      </c>
      <c r="G17">
        <v>49</v>
      </c>
      <c r="H17">
        <v>1.2</v>
      </c>
      <c r="I17">
        <v>0.7</v>
      </c>
      <c r="J17">
        <v>7</v>
      </c>
      <c r="K17" s="12">
        <f>IFERROR(Tabelle2[[#This Row],[Preis '[€']]]/(Tabelle2[[#This Row],[Menge '[g']]]),"")</f>
        <v>3.986666666666667E-3</v>
      </c>
      <c r="L17" s="12">
        <f>IFERROR(Tabelle2[[#This Row],[Preis '[€']]]/(Tabelle2[[#This Row],[Menge '[g']]]*Tabelle2[[#This Row],[Eiweiß '[g/100g']]]/100),"")</f>
        <v>0.33222222222222225</v>
      </c>
      <c r="M17" s="2">
        <f>IF(Tabelle2[[#This Row],[Kalorien '[kcal/100g']]]/100&lt;&gt;0,Tabelle2[[#This Row],[Kalorien '[kcal/100g']]]/100,"")</f>
        <v>0.49</v>
      </c>
      <c r="N17" s="1">
        <f>IF(Tabelle2[[#This Row],[Eiweiß '[g/100g']]]/100&lt;&gt;0,Tabelle2[[#This Row],[Eiweiß '[g/100g']]]/100,"")</f>
        <v>1.2E-2</v>
      </c>
      <c r="O17" s="6"/>
      <c r="P17" s="6"/>
    </row>
    <row r="18" spans="1:16" x14ac:dyDescent="0.55000000000000004">
      <c r="A18" t="s">
        <v>69</v>
      </c>
      <c r="D18" t="s">
        <v>44</v>
      </c>
      <c r="E18" s="5">
        <v>3.5</v>
      </c>
      <c r="F18">
        <v>800</v>
      </c>
      <c r="G18">
        <v>252</v>
      </c>
      <c r="H18">
        <v>7</v>
      </c>
      <c r="I18">
        <v>1.1000000000000001</v>
      </c>
      <c r="J18">
        <v>52</v>
      </c>
      <c r="K18" s="12">
        <f>IFERROR(Tabelle2[[#This Row],[Preis '[€']]]/(Tabelle2[[#This Row],[Menge '[g']]]),"")</f>
        <v>4.3750000000000004E-3</v>
      </c>
      <c r="L18" s="12">
        <f>IFERROR(Tabelle2[[#This Row],[Preis '[€']]]/(Tabelle2[[#This Row],[Menge '[g']]]*Tabelle2[[#This Row],[Eiweiß '[g/100g']]]/100),"")</f>
        <v>6.25E-2</v>
      </c>
      <c r="M18" s="2">
        <f>IF(Tabelle2[[#This Row],[Kalorien '[kcal/100g']]]/100&lt;&gt;0,Tabelle2[[#This Row],[Kalorien '[kcal/100g']]]/100,"")</f>
        <v>2.52</v>
      </c>
      <c r="N18" s="1">
        <f>IF(Tabelle2[[#This Row],[Eiweiß '[g/100g']]]/100&lt;&gt;0,Tabelle2[[#This Row],[Eiweiß '[g/100g']]]/100,"")</f>
        <v>7.0000000000000007E-2</v>
      </c>
      <c r="O18" s="6"/>
      <c r="P18" s="6"/>
    </row>
    <row r="19" spans="1:16" x14ac:dyDescent="0.55000000000000004">
      <c r="A19" t="s">
        <v>86</v>
      </c>
      <c r="B19" t="s">
        <v>87</v>
      </c>
      <c r="C19" t="s">
        <v>88</v>
      </c>
      <c r="D19" t="s">
        <v>45</v>
      </c>
      <c r="E19" s="5">
        <v>0.99</v>
      </c>
      <c r="F19">
        <v>200</v>
      </c>
      <c r="G19">
        <v>97</v>
      </c>
      <c r="H19">
        <v>11</v>
      </c>
      <c r="I19">
        <v>4.5</v>
      </c>
      <c r="J19">
        <v>3</v>
      </c>
      <c r="K19" s="12">
        <f>IFERROR(Tabelle2[[#This Row],[Preis '[€']]]/(Tabelle2[[#This Row],[Menge '[g']]]),"")</f>
        <v>4.9499999999999995E-3</v>
      </c>
      <c r="L19" s="12">
        <f>IFERROR(Tabelle2[[#This Row],[Preis '[€']]]/(Tabelle2[[#This Row],[Menge '[g']]]*Tabelle2[[#This Row],[Eiweiß '[g/100g']]]/100),"")</f>
        <v>4.4999999999999998E-2</v>
      </c>
      <c r="M19" s="2">
        <f>IF(Tabelle2[[#This Row],[Kalorien '[kcal/100g']]]/100&lt;&gt;0,Tabelle2[[#This Row],[Kalorien '[kcal/100g']]]/100,"")</f>
        <v>0.97</v>
      </c>
      <c r="N19" s="1">
        <f>IF(Tabelle2[[#This Row],[Eiweiß '[g/100g']]]/100&lt;&gt;0,Tabelle2[[#This Row],[Eiweiß '[g/100g']]]/100,"")</f>
        <v>0.11</v>
      </c>
      <c r="O19" s="6"/>
      <c r="P19" s="6"/>
    </row>
    <row r="20" spans="1:16" x14ac:dyDescent="0.55000000000000004">
      <c r="A20" t="s">
        <v>78</v>
      </c>
      <c r="D20" t="s">
        <v>44</v>
      </c>
      <c r="E20" s="5">
        <v>2</v>
      </c>
      <c r="F20">
        <v>400</v>
      </c>
      <c r="G20">
        <v>343</v>
      </c>
      <c r="H20">
        <v>13</v>
      </c>
      <c r="I20">
        <v>2.2000000000000002</v>
      </c>
      <c r="J20">
        <v>64</v>
      </c>
      <c r="K20" s="12">
        <f>IFERROR(Tabelle2[[#This Row],[Preis '[€']]]/(Tabelle2[[#This Row],[Menge '[g']]]),"")</f>
        <v>5.0000000000000001E-3</v>
      </c>
      <c r="L20" s="12">
        <f>IFERROR(Tabelle2[[#This Row],[Preis '[€']]]/(Tabelle2[[#This Row],[Menge '[g']]]*Tabelle2[[#This Row],[Eiweiß '[g/100g']]]/100),"")</f>
        <v>3.8461538461538464E-2</v>
      </c>
      <c r="M20" s="2">
        <f>IF(Tabelle2[[#This Row],[Kalorien '[kcal/100g']]]/100&lt;&gt;0,Tabelle2[[#This Row],[Kalorien '[kcal/100g']]]/100,"")</f>
        <v>3.43</v>
      </c>
      <c r="N20" s="1">
        <f>IF(Tabelle2[[#This Row],[Eiweiß '[g/100g']]]/100&lt;&gt;0,Tabelle2[[#This Row],[Eiweiß '[g/100g']]]/100,"")</f>
        <v>0.13</v>
      </c>
      <c r="O20" s="6"/>
      <c r="P20" s="6"/>
    </row>
    <row r="21" spans="1:16" x14ac:dyDescent="0.55000000000000004">
      <c r="A21" s="40" t="s">
        <v>70</v>
      </c>
      <c r="D21" t="s">
        <v>43</v>
      </c>
      <c r="E21" s="5">
        <v>1.25</v>
      </c>
      <c r="F21">
        <v>250</v>
      </c>
      <c r="G21">
        <v>15</v>
      </c>
      <c r="H21">
        <v>0.8</v>
      </c>
      <c r="I21">
        <v>0.1</v>
      </c>
      <c r="J21">
        <v>2.8</v>
      </c>
      <c r="K21" s="12">
        <f>IFERROR(Tabelle2[[#This Row],[Preis '[€']]]/(Tabelle2[[#This Row],[Menge '[g']]]),"")</f>
        <v>5.0000000000000001E-3</v>
      </c>
      <c r="L21" s="12">
        <f>IFERROR(Tabelle2[[#This Row],[Preis '[€']]]/(Tabelle2[[#This Row],[Menge '[g']]]*Tabelle2[[#This Row],[Eiweiß '[g/100g']]]/100),"")</f>
        <v>0.625</v>
      </c>
      <c r="M21" s="2">
        <f>IF(Tabelle2[[#This Row],[Kalorien '[kcal/100g']]]/100&lt;&gt;0,Tabelle2[[#This Row],[Kalorien '[kcal/100g']]]/100,"")</f>
        <v>0.15</v>
      </c>
      <c r="N21" s="1">
        <f>IF(Tabelle2[[#This Row],[Eiweiß '[g/100g']]]/100&lt;&gt;0,Tabelle2[[#This Row],[Eiweiß '[g/100g']]]/100,"")</f>
        <v>8.0000000000000002E-3</v>
      </c>
      <c r="O21" s="6"/>
      <c r="P21" s="6"/>
    </row>
    <row r="22" spans="1:16" x14ac:dyDescent="0.55000000000000004">
      <c r="A22" t="s">
        <v>64</v>
      </c>
      <c r="B22" t="s">
        <v>65</v>
      </c>
      <c r="C22" t="s">
        <v>66</v>
      </c>
      <c r="D22" t="s">
        <v>60</v>
      </c>
      <c r="E22" s="5">
        <v>1.0900000000000001</v>
      </c>
      <c r="F22">
        <v>200</v>
      </c>
      <c r="G22">
        <v>297</v>
      </c>
      <c r="H22">
        <v>2.6</v>
      </c>
      <c r="I22">
        <v>30</v>
      </c>
      <c r="J22">
        <v>2.8</v>
      </c>
      <c r="K22" s="12">
        <f>IFERROR(Tabelle2[[#This Row],[Preis '[€']]]/(Tabelle2[[#This Row],[Menge '[g']]]),"")</f>
        <v>5.45E-3</v>
      </c>
      <c r="L22" s="12">
        <f>IFERROR(Tabelle2[[#This Row],[Preis '[€']]]/(Tabelle2[[#This Row],[Menge '[g']]]*Tabelle2[[#This Row],[Eiweiß '[g/100g']]]/100),"")</f>
        <v>0.20961538461538462</v>
      </c>
      <c r="M22" s="2">
        <f>IF(Tabelle2[[#This Row],[Kalorien '[kcal/100g']]]/100&lt;&gt;0,Tabelle2[[#This Row],[Kalorien '[kcal/100g']]]/100,"")</f>
        <v>2.97</v>
      </c>
      <c r="N22" s="1">
        <f>IF(Tabelle2[[#This Row],[Eiweiß '[g/100g']]]/100&lt;&gt;0,Tabelle2[[#This Row],[Eiweiß '[g/100g']]]/100,"")</f>
        <v>2.6000000000000002E-2</v>
      </c>
      <c r="O22" s="6"/>
      <c r="P22" s="6"/>
    </row>
    <row r="23" spans="1:16" x14ac:dyDescent="0.55000000000000004">
      <c r="A23" t="s">
        <v>36</v>
      </c>
      <c r="C23" t="s">
        <v>7</v>
      </c>
      <c r="D23" t="s">
        <v>43</v>
      </c>
      <c r="E23" s="5">
        <v>2.29</v>
      </c>
      <c r="F23">
        <v>400</v>
      </c>
      <c r="G23">
        <v>31</v>
      </c>
      <c r="H23">
        <v>1.83</v>
      </c>
      <c r="I23">
        <v>0.22</v>
      </c>
      <c r="J23">
        <v>6.97</v>
      </c>
      <c r="K23" s="12">
        <f>IFERROR(Tabelle2[[#This Row],[Preis '[€']]]/(Tabelle2[[#This Row],[Menge '[g']]]),"")</f>
        <v>5.7250000000000001E-3</v>
      </c>
      <c r="L23" s="12">
        <f>IFERROR(Tabelle2[[#This Row],[Preis '[€']]]/(Tabelle2[[#This Row],[Menge '[g']]]*Tabelle2[[#This Row],[Eiweiß '[g/100g']]]/100),"")</f>
        <v>0.31284153005464482</v>
      </c>
      <c r="M23" s="2">
        <f>IF(Tabelle2[[#This Row],[Kalorien '[kcal/100g']]]/100&lt;&gt;0,Tabelle2[[#This Row],[Kalorien '[kcal/100g']]]/100,"")</f>
        <v>0.31</v>
      </c>
      <c r="N23" s="1">
        <f>IF(Tabelle2[[#This Row],[Eiweiß '[g/100g']]]/100&lt;&gt;0,Tabelle2[[#This Row],[Eiweiß '[g/100g']]]/100,"")</f>
        <v>1.83E-2</v>
      </c>
      <c r="O23" s="6"/>
      <c r="P23" s="6"/>
    </row>
    <row r="24" spans="1:16" x14ac:dyDescent="0.55000000000000004">
      <c r="A24" t="s">
        <v>76</v>
      </c>
      <c r="B24" t="s">
        <v>77</v>
      </c>
      <c r="C24" t="s">
        <v>66</v>
      </c>
      <c r="D24" t="s">
        <v>45</v>
      </c>
      <c r="E24" s="5">
        <v>2.99</v>
      </c>
      <c r="F24">
        <v>400</v>
      </c>
      <c r="G24">
        <v>93</v>
      </c>
      <c r="H24">
        <v>12.3</v>
      </c>
      <c r="I24">
        <v>3.9</v>
      </c>
      <c r="J24">
        <v>1.6</v>
      </c>
      <c r="K24" s="12">
        <f>IFERROR(Tabelle2[[#This Row],[Preis '[€']]]/(Tabelle2[[#This Row],[Menge '[g']]]),"")</f>
        <v>7.4750000000000007E-3</v>
      </c>
      <c r="L24" s="12">
        <f>IFERROR(Tabelle2[[#This Row],[Preis '[€']]]/(Tabelle2[[#This Row],[Menge '[g']]]*Tabelle2[[#This Row],[Eiweiß '[g/100g']]]/100),"")</f>
        <v>6.0772357723577239E-2</v>
      </c>
      <c r="M24" s="2">
        <f>IF(Tabelle2[[#This Row],[Kalorien '[kcal/100g']]]/100&lt;&gt;0,Tabelle2[[#This Row],[Kalorien '[kcal/100g']]]/100,"")</f>
        <v>0.93</v>
      </c>
      <c r="N24" s="1">
        <f>IF(Tabelle2[[#This Row],[Eiweiß '[g/100g']]]/100&lt;&gt;0,Tabelle2[[#This Row],[Eiweiß '[g/100g']]]/100,"")</f>
        <v>0.12300000000000001</v>
      </c>
      <c r="O24" s="6"/>
      <c r="P24" s="6"/>
    </row>
    <row r="25" spans="1:16" x14ac:dyDescent="0.55000000000000004">
      <c r="A25" t="s">
        <v>104</v>
      </c>
      <c r="B25" t="s">
        <v>105</v>
      </c>
      <c r="C25" t="s">
        <v>106</v>
      </c>
      <c r="D25" t="s">
        <v>45</v>
      </c>
      <c r="E25" s="5">
        <v>5.25</v>
      </c>
      <c r="F25">
        <v>483</v>
      </c>
      <c r="G25">
        <v>48</v>
      </c>
      <c r="H25">
        <v>11</v>
      </c>
      <c r="I25">
        <v>0</v>
      </c>
      <c r="J25">
        <v>0.7</v>
      </c>
      <c r="K25" s="12">
        <f>IFERROR(Tabelle2[[#This Row],[Preis '[€']]]/(Tabelle2[[#This Row],[Menge '[g']]]),"")</f>
        <v>1.0869565217391304E-2</v>
      </c>
      <c r="L25" s="12">
        <f>IFERROR(Tabelle2[[#This Row],[Preis '[€']]]/(Tabelle2[[#This Row],[Menge '[g']]]*Tabelle2[[#This Row],[Eiweiß '[g/100g']]]/100),"")</f>
        <v>9.8814229249011856E-2</v>
      </c>
      <c r="M25" s="2">
        <f>IF(Tabelle2[[#This Row],[Kalorien '[kcal/100g']]]/100&lt;&gt;0,Tabelle2[[#This Row],[Kalorien '[kcal/100g']]]/100,"")</f>
        <v>0.48</v>
      </c>
      <c r="N25" s="1">
        <f>IF(Tabelle2[[#This Row],[Eiweiß '[g/100g']]]/100&lt;&gt;0,Tabelle2[[#This Row],[Eiweiß '[g/100g']]]/100,"")</f>
        <v>0.11</v>
      </c>
      <c r="O25" s="6"/>
      <c r="P25" s="6"/>
    </row>
    <row r="26" spans="1:16" x14ac:dyDescent="0.55000000000000004">
      <c r="A26" s="40" t="s">
        <v>73</v>
      </c>
      <c r="D26" t="s">
        <v>46</v>
      </c>
      <c r="E26" s="5">
        <v>2.29</v>
      </c>
      <c r="F26">
        <v>200</v>
      </c>
      <c r="G26">
        <v>619</v>
      </c>
      <c r="H26">
        <v>24</v>
      </c>
      <c r="I26">
        <v>53</v>
      </c>
      <c r="J26">
        <v>5.7</v>
      </c>
      <c r="K26" s="12">
        <f>IFERROR(Tabelle2[[#This Row],[Preis '[€']]]/(Tabelle2[[#This Row],[Menge '[g']]]),"")</f>
        <v>1.145E-2</v>
      </c>
      <c r="L26" s="12">
        <f>IFERROR(Tabelle2[[#This Row],[Preis '[€']]]/(Tabelle2[[#This Row],[Menge '[g']]]*Tabelle2[[#This Row],[Eiweiß '[g/100g']]]/100),"")</f>
        <v>4.7708333333333332E-2</v>
      </c>
      <c r="M26" s="2">
        <f>IF(Tabelle2[[#This Row],[Kalorien '[kcal/100g']]]/100&lt;&gt;0,Tabelle2[[#This Row],[Kalorien '[kcal/100g']]]/100,"")</f>
        <v>6.19</v>
      </c>
      <c r="N26" s="1">
        <f>IF(Tabelle2[[#This Row],[Eiweiß '[g/100g']]]/100&lt;&gt;0,Tabelle2[[#This Row],[Eiweiß '[g/100g']]]/100,"")</f>
        <v>0.24</v>
      </c>
      <c r="O26" s="6"/>
      <c r="P26" s="6"/>
    </row>
    <row r="27" spans="1:16" x14ac:dyDescent="0.55000000000000004">
      <c r="A27" s="40" t="s">
        <v>38</v>
      </c>
      <c r="C27" t="s">
        <v>7</v>
      </c>
      <c r="D27" t="s">
        <v>45</v>
      </c>
      <c r="E27" s="5">
        <v>4.79</v>
      </c>
      <c r="F27">
        <v>400</v>
      </c>
      <c r="G27">
        <v>235</v>
      </c>
      <c r="H27">
        <v>20</v>
      </c>
      <c r="I27">
        <v>17</v>
      </c>
      <c r="J27">
        <v>0.5</v>
      </c>
      <c r="K27" s="12">
        <f>IFERROR(Tabelle2[[#This Row],[Preis '[€']]]/(Tabelle2[[#This Row],[Menge '[g']]]),"")</f>
        <v>1.1975E-2</v>
      </c>
      <c r="L27" s="12">
        <f>IFERROR(Tabelle2[[#This Row],[Preis '[€']]]/(Tabelle2[[#This Row],[Menge '[g']]]*Tabelle2[[#This Row],[Eiweiß '[g/100g']]]/100),"")</f>
        <v>5.9874999999999998E-2</v>
      </c>
      <c r="M27" s="2">
        <f>IF(Tabelle2[[#This Row],[Kalorien '[kcal/100g']]]/100&lt;&gt;0,Tabelle2[[#This Row],[Kalorien '[kcal/100g']]]/100,"")</f>
        <v>2.35</v>
      </c>
      <c r="N27" s="1">
        <f>IF(Tabelle2[[#This Row],[Eiweiß '[g/100g']]]/100&lt;&gt;0,Tabelle2[[#This Row],[Eiweiß '[g/100g']]]/100,"")</f>
        <v>0.2</v>
      </c>
      <c r="O27" s="6"/>
      <c r="P27" s="6"/>
    </row>
    <row r="28" spans="1:16" x14ac:dyDescent="0.55000000000000004">
      <c r="A28" t="s">
        <v>49</v>
      </c>
      <c r="C28" t="s">
        <v>7</v>
      </c>
      <c r="D28" t="s">
        <v>45</v>
      </c>
      <c r="E28" s="5">
        <v>4.8899999999999997</v>
      </c>
      <c r="F28">
        <v>350</v>
      </c>
      <c r="G28">
        <v>97</v>
      </c>
      <c r="H28">
        <v>20</v>
      </c>
      <c r="I28">
        <v>1.5</v>
      </c>
      <c r="J28">
        <v>0.5</v>
      </c>
      <c r="K28" s="30">
        <f>IFERROR(Tabelle2[[#This Row],[Preis '[€']]]/(Tabelle2[[#This Row],[Menge '[g']]]),"")</f>
        <v>1.397142857142857E-2</v>
      </c>
      <c r="L28" s="12">
        <f>IFERROR(Tabelle2[[#This Row],[Preis '[€']]]/(Tabelle2[[#This Row],[Menge '[g']]]*Tabelle2[[#This Row],[Eiweiß '[g/100g']]]/100),"")</f>
        <v>6.9857142857142854E-2</v>
      </c>
      <c r="M28" s="2">
        <f>IF(Tabelle2[[#This Row],[Kalorien '[kcal/100g']]]/100&lt;&gt;0,Tabelle2[[#This Row],[Kalorien '[kcal/100g']]]/100,"")</f>
        <v>0.97</v>
      </c>
      <c r="N28" s="1">
        <f>IF(Tabelle2[[#This Row],[Eiweiß '[g/100g']]]/100&lt;&gt;0,Tabelle2[[#This Row],[Eiweiß '[g/100g']]]/100,"")</f>
        <v>0.2</v>
      </c>
      <c r="O28" s="6"/>
      <c r="P28" s="6"/>
    </row>
    <row r="29" spans="1:16" x14ac:dyDescent="0.55000000000000004">
      <c r="A29" t="s">
        <v>37</v>
      </c>
      <c r="B29" t="s">
        <v>56</v>
      </c>
      <c r="D29" t="s">
        <v>46</v>
      </c>
      <c r="E29" s="5">
        <v>2.89</v>
      </c>
      <c r="F29">
        <v>180</v>
      </c>
      <c r="G29">
        <v>265</v>
      </c>
      <c r="H29">
        <v>14.2</v>
      </c>
      <c r="I29">
        <v>21.5</v>
      </c>
      <c r="J29">
        <v>3.9</v>
      </c>
      <c r="K29" s="12">
        <f>IFERROR(Tabelle2[[#This Row],[Preis '[€']]]/(Tabelle2[[#This Row],[Menge '[g']]]),"")</f>
        <v>1.6055555555555556E-2</v>
      </c>
      <c r="L29" s="12">
        <f>IFERROR(Tabelle2[[#This Row],[Preis '[€']]]/(Tabelle2[[#This Row],[Menge '[g']]]*Tabelle2[[#This Row],[Eiweiß '[g/100g']]]/100),"")</f>
        <v>0.11306729264475744</v>
      </c>
      <c r="M29" s="2">
        <f>IF(Tabelle2[[#This Row],[Kalorien '[kcal/100g']]]/100&lt;&gt;0,Tabelle2[[#This Row],[Kalorien '[kcal/100g']]]/100,"")</f>
        <v>2.65</v>
      </c>
      <c r="N29" s="1">
        <f>IF(Tabelle2[[#This Row],[Eiweiß '[g/100g']]]/100&lt;&gt;0,Tabelle2[[#This Row],[Eiweiß '[g/100g']]]/100,"")</f>
        <v>0.14199999999999999</v>
      </c>
      <c r="O29" s="6"/>
      <c r="P29" s="6"/>
    </row>
    <row r="30" spans="1:16" x14ac:dyDescent="0.55000000000000004">
      <c r="A30" t="s">
        <v>79</v>
      </c>
      <c r="B30" t="s">
        <v>80</v>
      </c>
      <c r="D30" t="s">
        <v>60</v>
      </c>
      <c r="E30" s="5">
        <v>3.59</v>
      </c>
      <c r="F30">
        <v>190</v>
      </c>
      <c r="G30">
        <v>482</v>
      </c>
      <c r="H30">
        <v>4.7</v>
      </c>
      <c r="I30">
        <v>46</v>
      </c>
      <c r="J30">
        <v>9.8000000000000007</v>
      </c>
      <c r="K30" s="12">
        <f>IFERROR(Tabelle2[[#This Row],[Preis '[€']]]/(Tabelle2[[#This Row],[Menge '[g']]]),"")</f>
        <v>1.8894736842105263E-2</v>
      </c>
      <c r="L30" s="12">
        <f>IFERROR(Tabelle2[[#This Row],[Preis '[€']]]/(Tabelle2[[#This Row],[Menge '[g']]]*Tabelle2[[#This Row],[Eiweiß '[g/100g']]]/100),"")</f>
        <v>0.40201567749160133</v>
      </c>
      <c r="M30" s="2">
        <f>IF(Tabelle2[[#This Row],[Kalorien '[kcal/100g']]]/100&lt;&gt;0,Tabelle2[[#This Row],[Kalorien '[kcal/100g']]]/100,"")</f>
        <v>4.82</v>
      </c>
      <c r="N30" s="1">
        <f>IF(Tabelle2[[#This Row],[Eiweiß '[g/100g']]]/100&lt;&gt;0,Tabelle2[[#This Row],[Eiweiß '[g/100g']]]/100,"")</f>
        <v>4.7E-2</v>
      </c>
      <c r="O30" s="6"/>
      <c r="P30" s="6"/>
    </row>
    <row r="31" spans="1:16" x14ac:dyDescent="0.55000000000000004">
      <c r="A31" t="s">
        <v>0</v>
      </c>
      <c r="B31" t="s">
        <v>6</v>
      </c>
      <c r="C31" t="s">
        <v>54</v>
      </c>
      <c r="D31" t="s">
        <v>45</v>
      </c>
      <c r="E31" s="5">
        <v>59.99</v>
      </c>
      <c r="F31">
        <v>2500</v>
      </c>
      <c r="G31">
        <v>373</v>
      </c>
      <c r="H31">
        <v>90</v>
      </c>
      <c r="I31">
        <v>0.3</v>
      </c>
      <c r="J31">
        <v>2.5</v>
      </c>
      <c r="K31" s="12">
        <f>IFERROR(Tabelle2[[#This Row],[Preis '[€']]]/(Tabelle2[[#This Row],[Menge '[g']]]),"")</f>
        <v>2.3996E-2</v>
      </c>
      <c r="L31" s="12">
        <f>IFERROR(Tabelle2[[#This Row],[Preis '[€']]]/(Tabelle2[[#This Row],[Menge '[g']]]*Tabelle2[[#This Row],[Eiweiß '[g/100g']]]/100),"")</f>
        <v>2.6662222222222223E-2</v>
      </c>
      <c r="M31" s="2">
        <f>IF(Tabelle2[[#This Row],[Kalorien '[kcal/100g']]]/100&lt;&gt;0,Tabelle2[[#This Row],[Kalorien '[kcal/100g']]]/100,"")</f>
        <v>3.73</v>
      </c>
      <c r="N31" s="1">
        <f>IF(Tabelle2[[#This Row],[Eiweiß '[g/100g']]]/100&lt;&gt;0,Tabelle2[[#This Row],[Eiweiß '[g/100g']]]/100,"")</f>
        <v>0.9</v>
      </c>
      <c r="O31" s="6"/>
      <c r="P31" s="6"/>
    </row>
    <row r="32" spans="1:16" x14ac:dyDescent="0.55000000000000004">
      <c r="A32" s="21" t="s">
        <v>51</v>
      </c>
      <c r="C32" t="s">
        <v>7</v>
      </c>
      <c r="D32" t="s">
        <v>45</v>
      </c>
      <c r="E32" s="5">
        <v>4.99</v>
      </c>
      <c r="F32">
        <v>200</v>
      </c>
      <c r="G32">
        <v>100</v>
      </c>
      <c r="H32">
        <v>13</v>
      </c>
      <c r="K32" s="12">
        <f>IFERROR(Tabelle2[[#This Row],[Preis '[€']]]/(Tabelle2[[#This Row],[Menge '[g']]]),"")</f>
        <v>2.495E-2</v>
      </c>
      <c r="L32" s="12">
        <f>IFERROR(Tabelle2[[#This Row],[Preis '[€']]]/(Tabelle2[[#This Row],[Menge '[g']]]*Tabelle2[[#This Row],[Eiweiß '[g/100g']]]/100),"")</f>
        <v>0.19192307692307692</v>
      </c>
      <c r="M32" s="2">
        <f>IF(Tabelle2[[#This Row],[Kalorien '[kcal/100g']]]/100&lt;&gt;0,Tabelle2[[#This Row],[Kalorien '[kcal/100g']]]/100,"")</f>
        <v>1</v>
      </c>
      <c r="N32" s="1">
        <f>IF(Tabelle2[[#This Row],[Eiweiß '[g/100g']]]/100&lt;&gt;0,Tabelle2[[#This Row],[Eiweiß '[g/100g']]]/100,"")</f>
        <v>0.13</v>
      </c>
      <c r="O32" s="6"/>
      <c r="P32" s="6"/>
    </row>
    <row r="33" spans="1:16" x14ac:dyDescent="0.55000000000000004">
      <c r="A33" s="20" t="s">
        <v>97</v>
      </c>
      <c r="E33" s="5"/>
      <c r="K33" s="12" t="str">
        <f>IFERROR(Tabelle2[[#This Row],[Preis '[€']]]/(Tabelle2[[#This Row],[Menge '[g']]]),"")</f>
        <v/>
      </c>
      <c r="L33" s="12" t="str">
        <f>IFERROR(Tabelle2[[#This Row],[Preis '[€']]]/(Tabelle2[[#This Row],[Menge '[g']]]*Tabelle2[[#This Row],[Eiweiß '[g/100g']]]/100),"")</f>
        <v/>
      </c>
      <c r="M33" s="2" t="str">
        <f>IF(Tabelle2[[#This Row],[Kalorien '[kcal/100g']]]/100&lt;&gt;0,Tabelle2[[#This Row],[Kalorien '[kcal/100g']]]/100,"")</f>
        <v/>
      </c>
      <c r="N33" s="1" t="str">
        <f>IF(Tabelle2[[#This Row],[Eiweiß '[g/100g']]]/100&lt;&gt;0,Tabelle2[[#This Row],[Eiweiß '[g/100g']]]/100,"")</f>
        <v/>
      </c>
      <c r="O33" s="6"/>
      <c r="P33" s="6"/>
    </row>
    <row r="34" spans="1:16" x14ac:dyDescent="0.55000000000000004">
      <c r="A34" s="21" t="s">
        <v>103</v>
      </c>
      <c r="E34" s="5"/>
      <c r="K34" s="12" t="str">
        <f>IFERROR(Tabelle2[[#This Row],[Preis '[€']]]/(Tabelle2[[#This Row],[Menge '[g']]]),"")</f>
        <v/>
      </c>
      <c r="L34" s="12" t="str">
        <f>IFERROR(Tabelle2[[#This Row],[Preis '[€']]]/(Tabelle2[[#This Row],[Menge '[g']]]*Tabelle2[[#This Row],[Eiweiß '[g/100g']]]/100),"")</f>
        <v/>
      </c>
      <c r="M34" s="2" t="str">
        <f>IF(Tabelle2[[#This Row],[Kalorien '[kcal/100g']]]/100&lt;&gt;0,Tabelle2[[#This Row],[Kalorien '[kcal/100g']]]/100,"")</f>
        <v/>
      </c>
      <c r="N34" s="1" t="str">
        <f>IF(Tabelle2[[#This Row],[Eiweiß '[g/100g']]]/100&lt;&gt;0,Tabelle2[[#This Row],[Eiweiß '[g/100g']]]/100,"")</f>
        <v/>
      </c>
      <c r="O34" s="6"/>
      <c r="P34" s="6"/>
    </row>
    <row r="35" spans="1:16" x14ac:dyDescent="0.55000000000000004">
      <c r="A35" s="20" t="s">
        <v>99</v>
      </c>
      <c r="E35" s="5"/>
      <c r="K35" s="12" t="str">
        <f>IFERROR(Tabelle2[[#This Row],[Preis '[€']]]/(Tabelle2[[#This Row],[Menge '[g']]]),"")</f>
        <v/>
      </c>
      <c r="L35" s="12" t="str">
        <f>IFERROR(Tabelle2[[#This Row],[Preis '[€']]]/(Tabelle2[[#This Row],[Menge '[g']]]*Tabelle2[[#This Row],[Eiweiß '[g/100g']]]/100),"")</f>
        <v/>
      </c>
      <c r="M35" s="2" t="str">
        <f>IF(Tabelle2[[#This Row],[Kalorien '[kcal/100g']]]/100&lt;&gt;0,Tabelle2[[#This Row],[Kalorien '[kcal/100g']]]/100,"")</f>
        <v/>
      </c>
      <c r="N35" s="1" t="str">
        <f>IF(Tabelle2[[#This Row],[Eiweiß '[g/100g']]]/100&lt;&gt;0,Tabelle2[[#This Row],[Eiweiß '[g/100g']]]/100,"")</f>
        <v/>
      </c>
      <c r="O35" s="6"/>
      <c r="P35" s="6"/>
    </row>
    <row r="36" spans="1:16" x14ac:dyDescent="0.55000000000000004">
      <c r="A36" s="21" t="s">
        <v>100</v>
      </c>
      <c r="E36" s="5"/>
      <c r="K36" s="12" t="str">
        <f>IFERROR(Tabelle2[[#This Row],[Preis '[€']]]/(Tabelle2[[#This Row],[Menge '[g']]]),"")</f>
        <v/>
      </c>
      <c r="L36" s="12" t="str">
        <f>IFERROR(Tabelle2[[#This Row],[Preis '[€']]]/(Tabelle2[[#This Row],[Menge '[g']]]*Tabelle2[[#This Row],[Eiweiß '[g/100g']]]/100),"")</f>
        <v/>
      </c>
      <c r="M36" s="2" t="str">
        <f>IF(Tabelle2[[#This Row],[Kalorien '[kcal/100g']]]/100&lt;&gt;0,Tabelle2[[#This Row],[Kalorien '[kcal/100g']]]/100,"")</f>
        <v/>
      </c>
      <c r="N36" s="1" t="str">
        <f>IF(Tabelle2[[#This Row],[Eiweiß '[g/100g']]]/100&lt;&gt;0,Tabelle2[[#This Row],[Eiweiß '[g/100g']]]/100,"")</f>
        <v/>
      </c>
      <c r="O36" s="6"/>
      <c r="P36" s="6"/>
    </row>
    <row r="37" spans="1:16" x14ac:dyDescent="0.55000000000000004">
      <c r="A37" t="s">
        <v>96</v>
      </c>
      <c r="E37" s="5"/>
      <c r="K37" s="12" t="str">
        <f>IFERROR(Tabelle2[[#This Row],[Preis '[€']]]/(Tabelle2[[#This Row],[Menge '[g']]]),"")</f>
        <v/>
      </c>
      <c r="L37" s="12" t="str">
        <f>IFERROR(Tabelle2[[#This Row],[Preis '[€']]]/(Tabelle2[[#This Row],[Menge '[g']]]*Tabelle2[[#This Row],[Eiweiß '[g/100g']]]/100),"")</f>
        <v/>
      </c>
      <c r="M37" s="2" t="str">
        <f>IF(Tabelle2[[#This Row],[Kalorien '[kcal/100g']]]/100&lt;&gt;0,Tabelle2[[#This Row],[Kalorien '[kcal/100g']]]/100,"")</f>
        <v/>
      </c>
      <c r="N37" s="1" t="str">
        <f>IF(Tabelle2[[#This Row],[Eiweiß '[g/100g']]]/100&lt;&gt;0,Tabelle2[[#This Row],[Eiweiß '[g/100g']]]/100,"")</f>
        <v/>
      </c>
      <c r="O37" s="6"/>
      <c r="P37" s="6"/>
    </row>
    <row r="38" spans="1:16" x14ac:dyDescent="0.55000000000000004">
      <c r="A38" s="40" t="s">
        <v>101</v>
      </c>
      <c r="E38" s="5"/>
      <c r="K38" s="12" t="str">
        <f>IFERROR(Tabelle2[[#This Row],[Preis '[€']]]/(Tabelle2[[#This Row],[Menge '[g']]]),"")</f>
        <v/>
      </c>
      <c r="L38" s="12" t="str">
        <f>IFERROR(Tabelle2[[#This Row],[Preis '[€']]]/(Tabelle2[[#This Row],[Menge '[g']]]*Tabelle2[[#This Row],[Eiweiß '[g/100g']]]/100),"")</f>
        <v/>
      </c>
      <c r="M38" s="2" t="str">
        <f>IF(Tabelle2[[#This Row],[Kalorien '[kcal/100g']]]/100&lt;&gt;0,Tabelle2[[#This Row],[Kalorien '[kcal/100g']]]/100,"")</f>
        <v/>
      </c>
      <c r="N38" s="1" t="str">
        <f>IF(Tabelle2[[#This Row],[Eiweiß '[g/100g']]]/100&lt;&gt;0,Tabelle2[[#This Row],[Eiweiß '[g/100g']]]/100,"")</f>
        <v/>
      </c>
      <c r="O38" s="6"/>
      <c r="P38" s="6"/>
    </row>
    <row r="39" spans="1:16" x14ac:dyDescent="0.55000000000000004">
      <c r="A39" t="s">
        <v>102</v>
      </c>
      <c r="E39" s="5"/>
      <c r="K39" s="12" t="str">
        <f>IFERROR(Tabelle2[[#This Row],[Preis '[€']]]/(Tabelle2[[#This Row],[Menge '[g']]]),"")</f>
        <v/>
      </c>
      <c r="L39" s="12" t="str">
        <f>IFERROR(Tabelle2[[#This Row],[Preis '[€']]]/(Tabelle2[[#This Row],[Menge '[g']]]*Tabelle2[[#This Row],[Eiweiß '[g/100g']]]/100),"")</f>
        <v/>
      </c>
      <c r="M39" s="2" t="str">
        <f>IF(Tabelle2[[#This Row],[Kalorien '[kcal/100g']]]/100&lt;&gt;0,Tabelle2[[#This Row],[Kalorien '[kcal/100g']]]/100,"")</f>
        <v/>
      </c>
      <c r="N39" s="1" t="str">
        <f>IF(Tabelle2[[#This Row],[Eiweiß '[g/100g']]]/100&lt;&gt;0,Tabelle2[[#This Row],[Eiweiß '[g/100g']]]/100,"")</f>
        <v/>
      </c>
      <c r="O39" s="6"/>
      <c r="P39" s="6"/>
    </row>
    <row r="40" spans="1:16" x14ac:dyDescent="0.55000000000000004">
      <c r="A40" t="s">
        <v>98</v>
      </c>
      <c r="E40" s="5"/>
      <c r="K40" s="12" t="str">
        <f>IFERROR(Tabelle2[[#This Row],[Preis '[€']]]/(Tabelle2[[#This Row],[Menge '[g']]]),"")</f>
        <v/>
      </c>
      <c r="L40" s="12" t="str">
        <f>IFERROR(Tabelle2[[#This Row],[Preis '[€']]]/(Tabelle2[[#This Row],[Menge '[g']]]*Tabelle2[[#This Row],[Eiweiß '[g/100g']]]/100),"")</f>
        <v/>
      </c>
      <c r="M40" s="2" t="str">
        <f>IF(Tabelle2[[#This Row],[Kalorien '[kcal/100g']]]/100&lt;&gt;0,Tabelle2[[#This Row],[Kalorien '[kcal/100g']]]/100,"")</f>
        <v/>
      </c>
      <c r="N40" s="1" t="str">
        <f>IF(Tabelle2[[#This Row],[Eiweiß '[g/100g']]]/100&lt;&gt;0,Tabelle2[[#This Row],[Eiweiß '[g/100g']]]/100,"")</f>
        <v/>
      </c>
      <c r="O40" s="6"/>
      <c r="P40" s="6"/>
    </row>
    <row r="41" spans="1:16" x14ac:dyDescent="0.55000000000000004">
      <c r="E41" s="5"/>
      <c r="K41" s="12" t="str">
        <f>IFERROR(Tabelle2[[#This Row],[Preis '[€']]]/(Tabelle2[[#This Row],[Menge '[g']]]),"")</f>
        <v/>
      </c>
      <c r="L41" s="12" t="str">
        <f>IFERROR(Tabelle2[[#This Row],[Preis '[€']]]/(Tabelle2[[#This Row],[Menge '[g']]]*Tabelle2[[#This Row],[Eiweiß '[g/100g']]]/100),"")</f>
        <v/>
      </c>
      <c r="M41" s="2" t="str">
        <f>IF(Tabelle2[[#This Row],[Kalorien '[kcal/100g']]]/100&lt;&gt;0,Tabelle2[[#This Row],[Kalorien '[kcal/100g']]]/100,"")</f>
        <v/>
      </c>
      <c r="N41" s="1" t="str">
        <f>IF(Tabelle2[[#This Row],[Eiweiß '[g/100g']]]/100&lt;&gt;0,Tabelle2[[#This Row],[Eiweiß '[g/100g']]]/100,"")</f>
        <v/>
      </c>
      <c r="O41" s="6"/>
      <c r="P41" s="6"/>
    </row>
    <row r="42" spans="1:16" x14ac:dyDescent="0.55000000000000004">
      <c r="E42" s="5"/>
      <c r="K42" s="12" t="str">
        <f>IFERROR(Tabelle2[[#This Row],[Preis '[€']]]/(Tabelle2[[#This Row],[Menge '[g']]]),"")</f>
        <v/>
      </c>
      <c r="L42" s="12" t="str">
        <f>IFERROR(Tabelle2[[#This Row],[Preis '[€']]]/(Tabelle2[[#This Row],[Menge '[g']]]*Tabelle2[[#This Row],[Eiweiß '[g/100g']]]/100),"")</f>
        <v/>
      </c>
      <c r="M42" s="2" t="str">
        <f>IF(Tabelle2[[#This Row],[Kalorien '[kcal/100g']]]/100&lt;&gt;0,Tabelle2[[#This Row],[Kalorien '[kcal/100g']]]/100,"")</f>
        <v/>
      </c>
      <c r="N42" s="1" t="str">
        <f>IF(Tabelle2[[#This Row],[Eiweiß '[g/100g']]]/100&lt;&gt;0,Tabelle2[[#This Row],[Eiweiß '[g/100g']]]/100,"")</f>
        <v/>
      </c>
      <c r="O42" s="6"/>
      <c r="P42" s="6"/>
    </row>
    <row r="43" spans="1:16" x14ac:dyDescent="0.55000000000000004">
      <c r="E43" s="5"/>
      <c r="K43" s="12" t="str">
        <f>IFERROR(Tabelle2[[#This Row],[Preis '[€']]]/(Tabelle2[[#This Row],[Menge '[g']]]),"")</f>
        <v/>
      </c>
      <c r="L43" s="12" t="str">
        <f>IFERROR(Tabelle2[[#This Row],[Preis '[€']]]/(Tabelle2[[#This Row],[Menge '[g']]]*Tabelle2[[#This Row],[Eiweiß '[g/100g']]]/100),"")</f>
        <v/>
      </c>
      <c r="M43" s="2" t="str">
        <f>IF(Tabelle2[[#This Row],[Kalorien '[kcal/100g']]]/100&lt;&gt;0,Tabelle2[[#This Row],[Kalorien '[kcal/100g']]]/100,"")</f>
        <v/>
      </c>
      <c r="N43" s="1" t="str">
        <f>IF(Tabelle2[[#This Row],[Eiweiß '[g/100g']]]/100&lt;&gt;0,Tabelle2[[#This Row],[Eiweiß '[g/100g']]]/100,"")</f>
        <v/>
      </c>
      <c r="O43" s="6"/>
      <c r="P43" s="6"/>
    </row>
    <row r="44" spans="1:16" x14ac:dyDescent="0.55000000000000004">
      <c r="E44" s="5"/>
      <c r="K44" s="12" t="str">
        <f>IFERROR(Tabelle2[[#This Row],[Preis '[€']]]/(Tabelle2[[#This Row],[Menge '[g']]]),"")</f>
        <v/>
      </c>
      <c r="L44" s="12" t="str">
        <f>IFERROR(Tabelle2[[#This Row],[Preis '[€']]]/(Tabelle2[[#This Row],[Menge '[g']]]*Tabelle2[[#This Row],[Eiweiß '[g/100g']]]/100),"")</f>
        <v/>
      </c>
      <c r="M44" s="2" t="str">
        <f>IF(Tabelle2[[#This Row],[Kalorien '[kcal/100g']]]/100&lt;&gt;0,Tabelle2[[#This Row],[Kalorien '[kcal/100g']]]/100,"")</f>
        <v/>
      </c>
      <c r="N44" s="1" t="str">
        <f>IF(Tabelle2[[#This Row],[Eiweiß '[g/100g']]]/100&lt;&gt;0,Tabelle2[[#This Row],[Eiweiß '[g/100g']]]/100,"")</f>
        <v/>
      </c>
      <c r="O44" s="6"/>
      <c r="P44" s="6"/>
    </row>
    <row r="45" spans="1:16" x14ac:dyDescent="0.55000000000000004">
      <c r="E45" s="5"/>
      <c r="K45" s="12" t="str">
        <f>IFERROR(Tabelle2[[#This Row],[Preis '[€']]]/(Tabelle2[[#This Row],[Menge '[g']]]),"")</f>
        <v/>
      </c>
      <c r="L45" s="12" t="str">
        <f>IFERROR(Tabelle2[[#This Row],[Preis '[€']]]/(Tabelle2[[#This Row],[Menge '[g']]]*Tabelle2[[#This Row],[Eiweiß '[g/100g']]]/100),"")</f>
        <v/>
      </c>
      <c r="M45" s="2" t="str">
        <f>IF(Tabelle2[[#This Row],[Kalorien '[kcal/100g']]]/100&lt;&gt;0,Tabelle2[[#This Row],[Kalorien '[kcal/100g']]]/100,"")</f>
        <v/>
      </c>
      <c r="N45" s="1" t="str">
        <f>IF(Tabelle2[[#This Row],[Eiweiß '[g/100g']]]/100&lt;&gt;0,Tabelle2[[#This Row],[Eiweiß '[g/100g']]]/100,"")</f>
        <v/>
      </c>
      <c r="O45" s="6"/>
      <c r="P45" s="6"/>
    </row>
    <row r="46" spans="1:16" x14ac:dyDescent="0.55000000000000004">
      <c r="E46" s="5"/>
      <c r="K46" s="12" t="str">
        <f>IFERROR(Tabelle2[[#This Row],[Preis '[€']]]/(Tabelle2[[#This Row],[Menge '[g']]]),"")</f>
        <v/>
      </c>
      <c r="L46" s="12" t="str">
        <f>IFERROR(Tabelle2[[#This Row],[Preis '[€']]]/(Tabelle2[[#This Row],[Menge '[g']]]*Tabelle2[[#This Row],[Eiweiß '[g/100g']]]/100),"")</f>
        <v/>
      </c>
      <c r="M46" s="2" t="str">
        <f>IF(Tabelle2[[#This Row],[Kalorien '[kcal/100g']]]/100&lt;&gt;0,Tabelle2[[#This Row],[Kalorien '[kcal/100g']]]/100,"")</f>
        <v/>
      </c>
      <c r="N46" s="1" t="str">
        <f>IF(Tabelle2[[#This Row],[Eiweiß '[g/100g']]]/100&lt;&gt;0,Tabelle2[[#This Row],[Eiweiß '[g/100g']]]/100,"")</f>
        <v/>
      </c>
      <c r="O46" s="6"/>
      <c r="P46" s="6"/>
    </row>
    <row r="47" spans="1:16" x14ac:dyDescent="0.55000000000000004">
      <c r="E47" s="5"/>
      <c r="K47" s="12" t="str">
        <f>IFERROR(Tabelle2[[#This Row],[Preis '[€']]]/(Tabelle2[[#This Row],[Menge '[g']]]),"")</f>
        <v/>
      </c>
      <c r="L47" s="12" t="str">
        <f>IFERROR(Tabelle2[[#This Row],[Preis '[€']]]/(Tabelle2[[#This Row],[Menge '[g']]]*Tabelle2[[#This Row],[Eiweiß '[g/100g']]]/100),"")</f>
        <v/>
      </c>
      <c r="M47" s="2" t="str">
        <f>IF(Tabelle2[[#This Row],[Kalorien '[kcal/100g']]]/100&lt;&gt;0,Tabelle2[[#This Row],[Kalorien '[kcal/100g']]]/100,"")</f>
        <v/>
      </c>
      <c r="N47" s="1" t="str">
        <f>IF(Tabelle2[[#This Row],[Eiweiß '[g/100g']]]/100&lt;&gt;0,Tabelle2[[#This Row],[Eiweiß '[g/100g']]]/100,"")</f>
        <v/>
      </c>
      <c r="O47" s="6"/>
      <c r="P47" s="6"/>
    </row>
    <row r="48" spans="1:16" x14ac:dyDescent="0.55000000000000004">
      <c r="E48" s="5"/>
      <c r="K48" s="12" t="str">
        <f>IFERROR(Tabelle2[[#This Row],[Preis '[€']]]/(Tabelle2[[#This Row],[Menge '[g']]]),"")</f>
        <v/>
      </c>
      <c r="L48" s="12" t="str">
        <f>IFERROR(Tabelle2[[#This Row],[Preis '[€']]]/(Tabelle2[[#This Row],[Menge '[g']]]*Tabelle2[[#This Row],[Eiweiß '[g/100g']]]/100),"")</f>
        <v/>
      </c>
      <c r="M48" s="2" t="str">
        <f>IF(Tabelle2[[#This Row],[Kalorien '[kcal/100g']]]/100&lt;&gt;0,Tabelle2[[#This Row],[Kalorien '[kcal/100g']]]/100,"")</f>
        <v/>
      </c>
      <c r="N48" s="1" t="str">
        <f>IF(Tabelle2[[#This Row],[Eiweiß '[g/100g']]]/100&lt;&gt;0,Tabelle2[[#This Row],[Eiweiß '[g/100g']]]/100,"")</f>
        <v/>
      </c>
      <c r="O48" s="6"/>
      <c r="P48" s="6"/>
    </row>
    <row r="49" spans="5:16" x14ac:dyDescent="0.55000000000000004">
      <c r="E49" s="5"/>
      <c r="K49" s="12" t="str">
        <f>IFERROR(Tabelle2[[#This Row],[Preis '[€']]]/(Tabelle2[[#This Row],[Menge '[g']]]),"")</f>
        <v/>
      </c>
      <c r="L49" s="12" t="str">
        <f>IFERROR(Tabelle2[[#This Row],[Preis '[€']]]/(Tabelle2[[#This Row],[Menge '[g']]]*Tabelle2[[#This Row],[Eiweiß '[g/100g']]]/100),"")</f>
        <v/>
      </c>
      <c r="M49" s="2" t="str">
        <f>IF(Tabelle2[[#This Row],[Kalorien '[kcal/100g']]]/100&lt;&gt;0,Tabelle2[[#This Row],[Kalorien '[kcal/100g']]]/100,"")</f>
        <v/>
      </c>
      <c r="N49" s="1" t="str">
        <f>IF(Tabelle2[[#This Row],[Eiweiß '[g/100g']]]/100&lt;&gt;0,Tabelle2[[#This Row],[Eiweiß '[g/100g']]]/100,"")</f>
        <v/>
      </c>
      <c r="O49" s="6"/>
      <c r="P49" s="6"/>
    </row>
    <row r="50" spans="5:16" x14ac:dyDescent="0.55000000000000004">
      <c r="E50" s="5"/>
      <c r="K50" s="12" t="str">
        <f>IFERROR(Tabelle2[[#This Row],[Preis '[€']]]/(Tabelle2[[#This Row],[Menge '[g']]]),"")</f>
        <v/>
      </c>
      <c r="L50" s="12" t="str">
        <f>IFERROR(Tabelle2[[#This Row],[Preis '[€']]]/(Tabelle2[[#This Row],[Menge '[g']]]*Tabelle2[[#This Row],[Eiweiß '[g/100g']]]/100),"")</f>
        <v/>
      </c>
      <c r="M50" s="2" t="str">
        <f>IF(Tabelle2[[#This Row],[Kalorien '[kcal/100g']]]/100&lt;&gt;0,Tabelle2[[#This Row],[Kalorien '[kcal/100g']]]/100,"")</f>
        <v/>
      </c>
      <c r="N50" s="1" t="str">
        <f>IF(Tabelle2[[#This Row],[Eiweiß '[g/100g']]]/100&lt;&gt;0,Tabelle2[[#This Row],[Eiweiß '[g/100g']]]/100,"")</f>
        <v/>
      </c>
      <c r="O50" s="6"/>
      <c r="P50" s="6"/>
    </row>
    <row r="51" spans="5:16" x14ac:dyDescent="0.55000000000000004">
      <c r="E51" s="5"/>
      <c r="K51" s="12" t="str">
        <f>IFERROR(Tabelle2[[#This Row],[Preis '[€']]]/(Tabelle2[[#This Row],[Menge '[g']]]),"")</f>
        <v/>
      </c>
      <c r="L51" s="12" t="str">
        <f>IFERROR(Tabelle2[[#This Row],[Preis '[€']]]/(Tabelle2[[#This Row],[Menge '[g']]]*Tabelle2[[#This Row],[Eiweiß '[g/100g']]]/100),"")</f>
        <v/>
      </c>
      <c r="M51" s="2" t="str">
        <f>IF(Tabelle2[[#This Row],[Kalorien '[kcal/100g']]]/100&lt;&gt;0,Tabelle2[[#This Row],[Kalorien '[kcal/100g']]]/100,"")</f>
        <v/>
      </c>
      <c r="N51" s="1" t="str">
        <f>IF(Tabelle2[[#This Row],[Eiweiß '[g/100g']]]/100&lt;&gt;0,Tabelle2[[#This Row],[Eiweiß '[g/100g']]]/100,"")</f>
        <v/>
      </c>
      <c r="O51" s="6"/>
      <c r="P51" s="6"/>
    </row>
    <row r="52" spans="5:16" x14ac:dyDescent="0.55000000000000004">
      <c r="E52" s="5"/>
      <c r="K52" s="12" t="str">
        <f>IFERROR(Tabelle2[[#This Row],[Preis '[€']]]/(Tabelle2[[#This Row],[Menge '[g']]]),"")</f>
        <v/>
      </c>
      <c r="L52" s="12" t="str">
        <f>IFERROR(Tabelle2[[#This Row],[Preis '[€']]]/(Tabelle2[[#This Row],[Menge '[g']]]*Tabelle2[[#This Row],[Eiweiß '[g/100g']]]/100),"")</f>
        <v/>
      </c>
      <c r="M52" s="2" t="str">
        <f>IF(Tabelle2[[#This Row],[Kalorien '[kcal/100g']]]/100&lt;&gt;0,Tabelle2[[#This Row],[Kalorien '[kcal/100g']]]/100,"")</f>
        <v/>
      </c>
      <c r="N52" s="1" t="str">
        <f>IF(Tabelle2[[#This Row],[Eiweiß '[g/100g']]]/100&lt;&gt;0,Tabelle2[[#This Row],[Eiweiß '[g/100g']]]/100,"")</f>
        <v/>
      </c>
      <c r="O52" s="6"/>
      <c r="P52" s="6"/>
    </row>
    <row r="53" spans="5:16" x14ac:dyDescent="0.55000000000000004">
      <c r="E53" s="5"/>
      <c r="K53" s="12" t="str">
        <f>IFERROR(Tabelle2[[#This Row],[Preis '[€']]]/(Tabelle2[[#This Row],[Menge '[g']]]),"")</f>
        <v/>
      </c>
      <c r="L53" s="12" t="str">
        <f>IFERROR(Tabelle2[[#This Row],[Preis '[€']]]/(Tabelle2[[#This Row],[Menge '[g']]]*Tabelle2[[#This Row],[Eiweiß '[g/100g']]]/100),"")</f>
        <v/>
      </c>
      <c r="M53" s="2" t="str">
        <f>IF(Tabelle2[[#This Row],[Kalorien '[kcal/100g']]]/100&lt;&gt;0,Tabelle2[[#This Row],[Kalorien '[kcal/100g']]]/100,"")</f>
        <v/>
      </c>
      <c r="N53" s="1" t="str">
        <f>IF(Tabelle2[[#This Row],[Eiweiß '[g/100g']]]/100&lt;&gt;0,Tabelle2[[#This Row],[Eiweiß '[g/100g']]]/100,"")</f>
        <v/>
      </c>
      <c r="O53" s="6"/>
      <c r="P53" s="6"/>
    </row>
    <row r="54" spans="5:16" x14ac:dyDescent="0.55000000000000004">
      <c r="E54" s="5"/>
      <c r="K54" s="12" t="str">
        <f>IFERROR(Tabelle2[[#This Row],[Preis '[€']]]/(Tabelle2[[#This Row],[Menge '[g']]]),"")</f>
        <v/>
      </c>
      <c r="L54" s="12" t="str">
        <f>IFERROR(Tabelle2[[#This Row],[Preis '[€']]]/(Tabelle2[[#This Row],[Menge '[g']]]*Tabelle2[[#This Row],[Eiweiß '[g/100g']]]/100),"")</f>
        <v/>
      </c>
      <c r="M54" s="2" t="str">
        <f>IF(Tabelle2[[#This Row],[Kalorien '[kcal/100g']]]/100&lt;&gt;0,Tabelle2[[#This Row],[Kalorien '[kcal/100g']]]/100,"")</f>
        <v/>
      </c>
      <c r="N54" s="1" t="str">
        <f>IF(Tabelle2[[#This Row],[Eiweiß '[g/100g']]]/100&lt;&gt;0,Tabelle2[[#This Row],[Eiweiß '[g/100g']]]/100,"")</f>
        <v/>
      </c>
      <c r="O54" s="6"/>
      <c r="P54" s="6"/>
    </row>
    <row r="55" spans="5:16" x14ac:dyDescent="0.55000000000000004">
      <c r="E55" s="5"/>
      <c r="K55" s="12" t="str">
        <f>IFERROR(Tabelle2[[#This Row],[Preis '[€']]]/(Tabelle2[[#This Row],[Menge '[g']]]),"")</f>
        <v/>
      </c>
      <c r="L55" s="12" t="str">
        <f>IFERROR(Tabelle2[[#This Row],[Preis '[€']]]/(Tabelle2[[#This Row],[Menge '[g']]]*Tabelle2[[#This Row],[Eiweiß '[g/100g']]]/100),"")</f>
        <v/>
      </c>
      <c r="M55" s="2" t="str">
        <f>IF(Tabelle2[[#This Row],[Kalorien '[kcal/100g']]]/100&lt;&gt;0,Tabelle2[[#This Row],[Kalorien '[kcal/100g']]]/100,"")</f>
        <v/>
      </c>
      <c r="N55" s="1" t="str">
        <f>IF(Tabelle2[[#This Row],[Eiweiß '[g/100g']]]/100&lt;&gt;0,Tabelle2[[#This Row],[Eiweiß '[g/100g']]]/100,"")</f>
        <v/>
      </c>
      <c r="O55" s="6"/>
      <c r="P55" s="6"/>
    </row>
    <row r="56" spans="5:16" x14ac:dyDescent="0.55000000000000004">
      <c r="E56" s="5"/>
      <c r="K56" s="12" t="str">
        <f>IFERROR(Tabelle2[[#This Row],[Preis '[€']]]/(Tabelle2[[#This Row],[Menge '[g']]]),"")</f>
        <v/>
      </c>
      <c r="L56" s="12" t="str">
        <f>IFERROR(Tabelle2[[#This Row],[Preis '[€']]]/(Tabelle2[[#This Row],[Menge '[g']]]*Tabelle2[[#This Row],[Eiweiß '[g/100g']]]/100),"")</f>
        <v/>
      </c>
      <c r="M56" s="2" t="str">
        <f>IF(Tabelle2[[#This Row],[Kalorien '[kcal/100g']]]/100&lt;&gt;0,Tabelle2[[#This Row],[Kalorien '[kcal/100g']]]/100,"")</f>
        <v/>
      </c>
      <c r="N56" s="1" t="str">
        <f>IF(Tabelle2[[#This Row],[Eiweiß '[g/100g']]]/100&lt;&gt;0,Tabelle2[[#This Row],[Eiweiß '[g/100g']]]/100,"")</f>
        <v/>
      </c>
      <c r="O56" s="6"/>
      <c r="P56" s="6"/>
    </row>
    <row r="57" spans="5:16" x14ac:dyDescent="0.55000000000000004">
      <c r="E57" s="5"/>
      <c r="K57" s="12" t="str">
        <f>IFERROR(Tabelle2[[#This Row],[Preis '[€']]]/(Tabelle2[[#This Row],[Menge '[g']]]),"")</f>
        <v/>
      </c>
      <c r="L57" s="12" t="str">
        <f>IFERROR(Tabelle2[[#This Row],[Preis '[€']]]/(Tabelle2[[#This Row],[Menge '[g']]]*Tabelle2[[#This Row],[Eiweiß '[g/100g']]]/100),"")</f>
        <v/>
      </c>
      <c r="M57" s="2" t="str">
        <f>IF(Tabelle2[[#This Row],[Kalorien '[kcal/100g']]]/100&lt;&gt;0,Tabelle2[[#This Row],[Kalorien '[kcal/100g']]]/100,"")</f>
        <v/>
      </c>
      <c r="N57" s="1" t="str">
        <f>IF(Tabelle2[[#This Row],[Eiweiß '[g/100g']]]/100&lt;&gt;0,Tabelle2[[#This Row],[Eiweiß '[g/100g']]]/100,"")</f>
        <v/>
      </c>
      <c r="O57" s="6"/>
      <c r="P57" s="6"/>
    </row>
    <row r="58" spans="5:16" x14ac:dyDescent="0.55000000000000004">
      <c r="E58" s="5"/>
      <c r="K58" s="12" t="str">
        <f>IFERROR(Tabelle2[[#This Row],[Preis '[€']]]/(Tabelle2[[#This Row],[Menge '[g']]]),"")</f>
        <v/>
      </c>
      <c r="L58" s="12" t="str">
        <f>IFERROR(Tabelle2[[#This Row],[Preis '[€']]]/(Tabelle2[[#This Row],[Menge '[g']]]*Tabelle2[[#This Row],[Eiweiß '[g/100g']]]/100),"")</f>
        <v/>
      </c>
      <c r="M58" s="2" t="str">
        <f>IF(Tabelle2[[#This Row],[Kalorien '[kcal/100g']]]/100&lt;&gt;0,Tabelle2[[#This Row],[Kalorien '[kcal/100g']]]/100,"")</f>
        <v/>
      </c>
      <c r="N58" s="1" t="str">
        <f>IF(Tabelle2[[#This Row],[Eiweiß '[g/100g']]]/100&lt;&gt;0,Tabelle2[[#This Row],[Eiweiß '[g/100g']]]/100,"")</f>
        <v/>
      </c>
      <c r="O58" s="6"/>
      <c r="P58" s="6"/>
    </row>
    <row r="59" spans="5:16" x14ac:dyDescent="0.55000000000000004">
      <c r="E59" s="5"/>
      <c r="K59" s="12" t="str">
        <f>IFERROR(Tabelle2[[#This Row],[Preis '[€']]]/(Tabelle2[[#This Row],[Menge '[g']]]),"")</f>
        <v/>
      </c>
      <c r="L59" s="12" t="str">
        <f>IFERROR(Tabelle2[[#This Row],[Preis '[€']]]/(Tabelle2[[#This Row],[Menge '[g']]]*Tabelle2[[#This Row],[Eiweiß '[g/100g']]]/100),"")</f>
        <v/>
      </c>
      <c r="M59" s="2" t="str">
        <f>IF(Tabelle2[[#This Row],[Kalorien '[kcal/100g']]]/100&lt;&gt;0,Tabelle2[[#This Row],[Kalorien '[kcal/100g']]]/100,"")</f>
        <v/>
      </c>
      <c r="N59" s="1" t="str">
        <f>IF(Tabelle2[[#This Row],[Eiweiß '[g/100g']]]/100&lt;&gt;0,Tabelle2[[#This Row],[Eiweiß '[g/100g']]]/100,"")</f>
        <v/>
      </c>
      <c r="O59" s="6"/>
      <c r="P59" s="6"/>
    </row>
    <row r="60" spans="5:16" x14ac:dyDescent="0.55000000000000004">
      <c r="E60" s="5"/>
      <c r="K60" s="12" t="str">
        <f>IFERROR(Tabelle2[[#This Row],[Preis '[€']]]/(Tabelle2[[#This Row],[Menge '[g']]]),"")</f>
        <v/>
      </c>
      <c r="L60" s="12" t="str">
        <f>IFERROR(Tabelle2[[#This Row],[Preis '[€']]]/(Tabelle2[[#This Row],[Menge '[g']]]*Tabelle2[[#This Row],[Eiweiß '[g/100g']]]/100),"")</f>
        <v/>
      </c>
      <c r="M60" s="2" t="str">
        <f>IF(Tabelle2[[#This Row],[Kalorien '[kcal/100g']]]/100&lt;&gt;0,Tabelle2[[#This Row],[Kalorien '[kcal/100g']]]/100,"")</f>
        <v/>
      </c>
      <c r="N60" s="1" t="str">
        <f>IF(Tabelle2[[#This Row],[Eiweiß '[g/100g']]]/100&lt;&gt;0,Tabelle2[[#This Row],[Eiweiß '[g/100g']]]/100,"")</f>
        <v/>
      </c>
      <c r="O60" s="6"/>
      <c r="P60" s="6"/>
    </row>
    <row r="61" spans="5:16" x14ac:dyDescent="0.55000000000000004">
      <c r="E61" s="5"/>
      <c r="K61" s="12" t="str">
        <f>IFERROR(Tabelle2[[#This Row],[Preis '[€']]]/(Tabelle2[[#This Row],[Menge '[g']]]),"")</f>
        <v/>
      </c>
      <c r="L61" s="12" t="str">
        <f>IFERROR(Tabelle2[[#This Row],[Preis '[€']]]/(Tabelle2[[#This Row],[Menge '[g']]]*Tabelle2[[#This Row],[Eiweiß '[g/100g']]]/100),"")</f>
        <v/>
      </c>
      <c r="M61" s="2" t="str">
        <f>IF(Tabelle2[[#This Row],[Kalorien '[kcal/100g']]]/100&lt;&gt;0,Tabelle2[[#This Row],[Kalorien '[kcal/100g']]]/100,"")</f>
        <v/>
      </c>
      <c r="N61" s="1" t="str">
        <f>IF(Tabelle2[[#This Row],[Eiweiß '[g/100g']]]/100&lt;&gt;0,Tabelle2[[#This Row],[Eiweiß '[g/100g']]]/100,"")</f>
        <v/>
      </c>
      <c r="O61" s="6"/>
      <c r="P61" s="6"/>
    </row>
    <row r="62" spans="5:16" x14ac:dyDescent="0.55000000000000004">
      <c r="E62" s="5"/>
      <c r="K62" s="12" t="str">
        <f>IFERROR(Tabelle2[[#This Row],[Preis '[€']]]/(Tabelle2[[#This Row],[Menge '[g']]]),"")</f>
        <v/>
      </c>
      <c r="L62" s="12" t="str">
        <f>IFERROR(Tabelle2[[#This Row],[Preis '[€']]]/(Tabelle2[[#This Row],[Menge '[g']]]*Tabelle2[[#This Row],[Eiweiß '[g/100g']]]/100),"")</f>
        <v/>
      </c>
      <c r="M62" s="2" t="str">
        <f>IF(Tabelle2[[#This Row],[Kalorien '[kcal/100g']]]/100&lt;&gt;0,Tabelle2[[#This Row],[Kalorien '[kcal/100g']]]/100,"")</f>
        <v/>
      </c>
      <c r="N62" s="1" t="str">
        <f>IF(Tabelle2[[#This Row],[Eiweiß '[g/100g']]]/100&lt;&gt;0,Tabelle2[[#This Row],[Eiweiß '[g/100g']]]/100,"")</f>
        <v/>
      </c>
      <c r="O62" s="6"/>
      <c r="P62" s="6"/>
    </row>
    <row r="63" spans="5:16" x14ac:dyDescent="0.55000000000000004">
      <c r="E63" s="5"/>
      <c r="K63" s="12" t="str">
        <f>IFERROR(Tabelle2[[#This Row],[Preis '[€']]]/(Tabelle2[[#This Row],[Menge '[g']]]),"")</f>
        <v/>
      </c>
      <c r="L63" s="12" t="str">
        <f>IFERROR(Tabelle2[[#This Row],[Preis '[€']]]/(Tabelle2[[#This Row],[Menge '[g']]]*Tabelle2[[#This Row],[Eiweiß '[g/100g']]]/100),"")</f>
        <v/>
      </c>
      <c r="M63" s="2" t="str">
        <f>IF(Tabelle2[[#This Row],[Kalorien '[kcal/100g']]]/100&lt;&gt;0,Tabelle2[[#This Row],[Kalorien '[kcal/100g']]]/100,"")</f>
        <v/>
      </c>
      <c r="N63" s="1" t="str">
        <f>IF(Tabelle2[[#This Row],[Eiweiß '[g/100g']]]/100&lt;&gt;0,Tabelle2[[#This Row],[Eiweiß '[g/100g']]]/100,"")</f>
        <v/>
      </c>
      <c r="O63" s="6"/>
      <c r="P63" s="6"/>
    </row>
    <row r="64" spans="5:16" x14ac:dyDescent="0.55000000000000004">
      <c r="E64" s="5"/>
      <c r="K64" s="12" t="str">
        <f>IFERROR(Tabelle2[[#This Row],[Preis '[€']]]/(Tabelle2[[#This Row],[Menge '[g']]]),"")</f>
        <v/>
      </c>
      <c r="L64" s="12" t="str">
        <f>IFERROR(Tabelle2[[#This Row],[Preis '[€']]]/(Tabelle2[[#This Row],[Menge '[g']]]*Tabelle2[[#This Row],[Eiweiß '[g/100g']]]/100),"")</f>
        <v/>
      </c>
      <c r="M64" s="2" t="str">
        <f>IF(Tabelle2[[#This Row],[Kalorien '[kcal/100g']]]/100&lt;&gt;0,Tabelle2[[#This Row],[Kalorien '[kcal/100g']]]/100,"")</f>
        <v/>
      </c>
      <c r="N64" s="1" t="str">
        <f>IF(Tabelle2[[#This Row],[Eiweiß '[g/100g']]]/100&lt;&gt;0,Tabelle2[[#This Row],[Eiweiß '[g/100g']]]/100,"")</f>
        <v/>
      </c>
      <c r="O64" s="6"/>
      <c r="P64" s="6"/>
    </row>
    <row r="65" spans="5:16" x14ac:dyDescent="0.55000000000000004">
      <c r="E65" s="5"/>
      <c r="K65" s="12" t="str">
        <f>IFERROR(Tabelle2[[#This Row],[Preis '[€']]]/(Tabelle2[[#This Row],[Menge '[g']]]),"")</f>
        <v/>
      </c>
      <c r="L65" s="12" t="str">
        <f>IFERROR(Tabelle2[[#This Row],[Preis '[€']]]/(Tabelle2[[#This Row],[Menge '[g']]]*Tabelle2[[#This Row],[Eiweiß '[g/100g']]]/100),"")</f>
        <v/>
      </c>
      <c r="M65" s="2" t="str">
        <f>IF(Tabelle2[[#This Row],[Kalorien '[kcal/100g']]]/100&lt;&gt;0,Tabelle2[[#This Row],[Kalorien '[kcal/100g']]]/100,"")</f>
        <v/>
      </c>
      <c r="N65" s="1" t="str">
        <f>IF(Tabelle2[[#This Row],[Eiweiß '[g/100g']]]/100&lt;&gt;0,Tabelle2[[#This Row],[Eiweiß '[g/100g']]]/100,"")</f>
        <v/>
      </c>
      <c r="O65" s="6"/>
      <c r="P65" s="6"/>
    </row>
    <row r="66" spans="5:16" x14ac:dyDescent="0.55000000000000004">
      <c r="E66" s="5"/>
      <c r="K66" s="12" t="str">
        <f>IFERROR(Tabelle2[[#This Row],[Preis '[€']]]/(Tabelle2[[#This Row],[Menge '[g']]]),"")</f>
        <v/>
      </c>
      <c r="L66" s="12" t="str">
        <f>IFERROR(Tabelle2[[#This Row],[Preis '[€']]]/(Tabelle2[[#This Row],[Menge '[g']]]*Tabelle2[[#This Row],[Eiweiß '[g/100g']]]/100),"")</f>
        <v/>
      </c>
      <c r="M66" s="2" t="str">
        <f>IF(Tabelle2[[#This Row],[Kalorien '[kcal/100g']]]/100&lt;&gt;0,Tabelle2[[#This Row],[Kalorien '[kcal/100g']]]/100,"")</f>
        <v/>
      </c>
      <c r="N66" s="1" t="str">
        <f>IF(Tabelle2[[#This Row],[Eiweiß '[g/100g']]]/100&lt;&gt;0,Tabelle2[[#This Row],[Eiweiß '[g/100g']]]/100,"")</f>
        <v/>
      </c>
      <c r="O66" s="6"/>
      <c r="P66" s="6"/>
    </row>
    <row r="67" spans="5:16" x14ac:dyDescent="0.55000000000000004">
      <c r="E67" s="5"/>
      <c r="K67" s="12" t="str">
        <f>IFERROR(Tabelle2[[#This Row],[Preis '[€']]]/(Tabelle2[[#This Row],[Menge '[g']]]),"")</f>
        <v/>
      </c>
      <c r="L67" s="12" t="str">
        <f>IFERROR(Tabelle2[[#This Row],[Preis '[€']]]/(Tabelle2[[#This Row],[Menge '[g']]]*Tabelle2[[#This Row],[Eiweiß '[g/100g']]]/100),"")</f>
        <v/>
      </c>
      <c r="M67" s="2" t="str">
        <f>IF(Tabelle2[[#This Row],[Kalorien '[kcal/100g']]]/100&lt;&gt;0,Tabelle2[[#This Row],[Kalorien '[kcal/100g']]]/100,"")</f>
        <v/>
      </c>
      <c r="N67" s="1" t="str">
        <f>IF(Tabelle2[[#This Row],[Eiweiß '[g/100g']]]/100&lt;&gt;0,Tabelle2[[#This Row],[Eiweiß '[g/100g']]]/100,"")</f>
        <v/>
      </c>
      <c r="O67" s="6"/>
      <c r="P67" s="6"/>
    </row>
    <row r="68" spans="5:16" x14ac:dyDescent="0.55000000000000004">
      <c r="E68" s="5"/>
      <c r="K68" s="12" t="str">
        <f>IFERROR(Tabelle2[[#This Row],[Preis '[€']]]/(Tabelle2[[#This Row],[Menge '[g']]]),"")</f>
        <v/>
      </c>
      <c r="L68" s="12" t="str">
        <f>IFERROR(Tabelle2[[#This Row],[Preis '[€']]]/(Tabelle2[[#This Row],[Menge '[g']]]*Tabelle2[[#This Row],[Eiweiß '[g/100g']]]/100),"")</f>
        <v/>
      </c>
      <c r="M68" s="2" t="str">
        <f>IF(Tabelle2[[#This Row],[Kalorien '[kcal/100g']]]/100&lt;&gt;0,Tabelle2[[#This Row],[Kalorien '[kcal/100g']]]/100,"")</f>
        <v/>
      </c>
      <c r="N68" s="1" t="str">
        <f>IF(Tabelle2[[#This Row],[Eiweiß '[g/100g']]]/100&lt;&gt;0,Tabelle2[[#This Row],[Eiweiß '[g/100g']]]/100,"")</f>
        <v/>
      </c>
      <c r="O68" s="6"/>
      <c r="P68" s="6"/>
    </row>
    <row r="69" spans="5:16" x14ac:dyDescent="0.55000000000000004">
      <c r="E69" s="5"/>
      <c r="K69" s="12" t="str">
        <f>IFERROR(Tabelle2[[#This Row],[Preis '[€']]]/(Tabelle2[[#This Row],[Menge '[g']]]),"")</f>
        <v/>
      </c>
      <c r="L69" s="12" t="str">
        <f>IFERROR(Tabelle2[[#This Row],[Preis '[€']]]/(Tabelle2[[#This Row],[Menge '[g']]]*Tabelle2[[#This Row],[Eiweiß '[g/100g']]]/100),"")</f>
        <v/>
      </c>
      <c r="M69" s="2" t="str">
        <f>IF(Tabelle2[[#This Row],[Kalorien '[kcal/100g']]]/100&lt;&gt;0,Tabelle2[[#This Row],[Kalorien '[kcal/100g']]]/100,"")</f>
        <v/>
      </c>
      <c r="N69" s="1" t="str">
        <f>IF(Tabelle2[[#This Row],[Eiweiß '[g/100g']]]/100&lt;&gt;0,Tabelle2[[#This Row],[Eiweiß '[g/100g']]]/100,"")</f>
        <v/>
      </c>
      <c r="O69" s="6"/>
      <c r="P69" s="6"/>
    </row>
    <row r="70" spans="5:16" x14ac:dyDescent="0.55000000000000004">
      <c r="E70" s="5"/>
      <c r="K70" s="12" t="str">
        <f>IFERROR(Tabelle2[[#This Row],[Preis '[€']]]/(Tabelle2[[#This Row],[Menge '[g']]]),"")</f>
        <v/>
      </c>
      <c r="L70" s="12" t="str">
        <f>IFERROR(Tabelle2[[#This Row],[Preis '[€']]]/(Tabelle2[[#This Row],[Menge '[g']]]*Tabelle2[[#This Row],[Eiweiß '[g/100g']]]/100),"")</f>
        <v/>
      </c>
      <c r="M70" s="2" t="str">
        <f>IF(Tabelle2[[#This Row],[Kalorien '[kcal/100g']]]/100&lt;&gt;0,Tabelle2[[#This Row],[Kalorien '[kcal/100g']]]/100,"")</f>
        <v/>
      </c>
      <c r="N70" s="1" t="str">
        <f>IF(Tabelle2[[#This Row],[Eiweiß '[g/100g']]]/100&lt;&gt;0,Tabelle2[[#This Row],[Eiweiß '[g/100g']]]/100,"")</f>
        <v/>
      </c>
      <c r="O70" s="6"/>
      <c r="P70" s="6"/>
    </row>
    <row r="71" spans="5:16" x14ac:dyDescent="0.55000000000000004">
      <c r="E71" s="5"/>
      <c r="K71" s="12" t="str">
        <f>IFERROR(Tabelle2[[#This Row],[Preis '[€']]]/(Tabelle2[[#This Row],[Menge '[g']]]),"")</f>
        <v/>
      </c>
      <c r="L71" s="12" t="str">
        <f>IFERROR(Tabelle2[[#This Row],[Preis '[€']]]/(Tabelle2[[#This Row],[Menge '[g']]]*Tabelle2[[#This Row],[Eiweiß '[g/100g']]]/100),"")</f>
        <v/>
      </c>
      <c r="M71" s="2" t="str">
        <f>IF(Tabelle2[[#This Row],[Kalorien '[kcal/100g']]]/100&lt;&gt;0,Tabelle2[[#This Row],[Kalorien '[kcal/100g']]]/100,"")</f>
        <v/>
      </c>
      <c r="N71" s="1" t="str">
        <f>IF(Tabelle2[[#This Row],[Eiweiß '[g/100g']]]/100&lt;&gt;0,Tabelle2[[#This Row],[Eiweiß '[g/100g']]]/100,"")</f>
        <v/>
      </c>
      <c r="O71" s="6"/>
      <c r="P71" s="6"/>
    </row>
    <row r="72" spans="5:16" x14ac:dyDescent="0.55000000000000004">
      <c r="E72" s="5"/>
      <c r="K72" s="12" t="str">
        <f>IFERROR(Tabelle2[[#This Row],[Preis '[€']]]/(Tabelle2[[#This Row],[Menge '[g']]]),"")</f>
        <v/>
      </c>
      <c r="L72" s="12" t="str">
        <f>IFERROR(Tabelle2[[#This Row],[Preis '[€']]]/(Tabelle2[[#This Row],[Menge '[g']]]*Tabelle2[[#This Row],[Eiweiß '[g/100g']]]/100),"")</f>
        <v/>
      </c>
      <c r="M72" s="2" t="str">
        <f>IF(Tabelle2[[#This Row],[Kalorien '[kcal/100g']]]/100&lt;&gt;0,Tabelle2[[#This Row],[Kalorien '[kcal/100g']]]/100,"")</f>
        <v/>
      </c>
      <c r="N72" s="1" t="str">
        <f>IF(Tabelle2[[#This Row],[Eiweiß '[g/100g']]]/100&lt;&gt;0,Tabelle2[[#This Row],[Eiweiß '[g/100g']]]/100,"")</f>
        <v/>
      </c>
      <c r="O72" s="6"/>
      <c r="P72" s="6"/>
    </row>
    <row r="73" spans="5:16" x14ac:dyDescent="0.55000000000000004">
      <c r="E73" s="5"/>
      <c r="K73" s="12" t="str">
        <f>IFERROR(Tabelle2[[#This Row],[Preis '[€']]]/(Tabelle2[[#This Row],[Menge '[g']]]),"")</f>
        <v/>
      </c>
      <c r="L73" s="12" t="str">
        <f>IFERROR(Tabelle2[[#This Row],[Preis '[€']]]/(Tabelle2[[#This Row],[Menge '[g']]]*Tabelle2[[#This Row],[Eiweiß '[g/100g']]]/100),"")</f>
        <v/>
      </c>
      <c r="M73" s="2" t="str">
        <f>IF(Tabelle2[[#This Row],[Kalorien '[kcal/100g']]]/100&lt;&gt;0,Tabelle2[[#This Row],[Kalorien '[kcal/100g']]]/100,"")</f>
        <v/>
      </c>
      <c r="N73" s="1" t="str">
        <f>IF(Tabelle2[[#This Row],[Eiweiß '[g/100g']]]/100&lt;&gt;0,Tabelle2[[#This Row],[Eiweiß '[g/100g']]]/100,"")</f>
        <v/>
      </c>
      <c r="O73" s="6"/>
      <c r="P73" s="6"/>
    </row>
    <row r="74" spans="5:16" x14ac:dyDescent="0.55000000000000004">
      <c r="E74" s="5"/>
      <c r="K74" s="12" t="str">
        <f>IFERROR(Tabelle2[[#This Row],[Preis '[€']]]/(Tabelle2[[#This Row],[Menge '[g']]]),"")</f>
        <v/>
      </c>
      <c r="L74" s="12" t="str">
        <f>IFERROR(Tabelle2[[#This Row],[Preis '[€']]]/(Tabelle2[[#This Row],[Menge '[g']]]*Tabelle2[[#This Row],[Eiweiß '[g/100g']]]/100),"")</f>
        <v/>
      </c>
      <c r="M74" s="2" t="str">
        <f>IF(Tabelle2[[#This Row],[Kalorien '[kcal/100g']]]/100&lt;&gt;0,Tabelle2[[#This Row],[Kalorien '[kcal/100g']]]/100,"")</f>
        <v/>
      </c>
      <c r="N74" s="1" t="str">
        <f>IF(Tabelle2[[#This Row],[Eiweiß '[g/100g']]]/100&lt;&gt;0,Tabelle2[[#This Row],[Eiweiß '[g/100g']]]/100,"")</f>
        <v/>
      </c>
      <c r="O74" s="6"/>
      <c r="P74" s="6"/>
    </row>
    <row r="75" spans="5:16" x14ac:dyDescent="0.55000000000000004">
      <c r="E75" s="5"/>
      <c r="K75" s="12" t="str">
        <f>IFERROR(Tabelle2[[#This Row],[Preis '[€']]]/(Tabelle2[[#This Row],[Menge '[g']]]),"")</f>
        <v/>
      </c>
      <c r="L75" s="12" t="str">
        <f>IFERROR(Tabelle2[[#This Row],[Preis '[€']]]/(Tabelle2[[#This Row],[Menge '[g']]]*Tabelle2[[#This Row],[Eiweiß '[g/100g']]]/100),"")</f>
        <v/>
      </c>
      <c r="M75" s="2" t="str">
        <f>IF(Tabelle2[[#This Row],[Kalorien '[kcal/100g']]]/100&lt;&gt;0,Tabelle2[[#This Row],[Kalorien '[kcal/100g']]]/100,"")</f>
        <v/>
      </c>
      <c r="N75" s="1" t="str">
        <f>IF(Tabelle2[[#This Row],[Eiweiß '[g/100g']]]/100&lt;&gt;0,Tabelle2[[#This Row],[Eiweiß '[g/100g']]]/100,"")</f>
        <v/>
      </c>
      <c r="O75" s="6"/>
      <c r="P75" s="6"/>
    </row>
    <row r="76" spans="5:16" x14ac:dyDescent="0.55000000000000004">
      <c r="E76" s="5"/>
      <c r="K76" s="12" t="str">
        <f>IFERROR(Tabelle2[[#This Row],[Preis '[€']]]/(Tabelle2[[#This Row],[Menge '[g']]]),"")</f>
        <v/>
      </c>
      <c r="L76" s="12" t="str">
        <f>IFERROR(Tabelle2[[#This Row],[Preis '[€']]]/(Tabelle2[[#This Row],[Menge '[g']]]*Tabelle2[[#This Row],[Eiweiß '[g/100g']]]/100),"")</f>
        <v/>
      </c>
      <c r="M76" s="2" t="str">
        <f>IF(Tabelle2[[#This Row],[Kalorien '[kcal/100g']]]/100&lt;&gt;0,Tabelle2[[#This Row],[Kalorien '[kcal/100g']]]/100,"")</f>
        <v/>
      </c>
      <c r="N76" s="1" t="str">
        <f>IF(Tabelle2[[#This Row],[Eiweiß '[g/100g']]]/100&lt;&gt;0,Tabelle2[[#This Row],[Eiweiß '[g/100g']]]/100,"")</f>
        <v/>
      </c>
      <c r="O76" s="6"/>
      <c r="P76" s="6"/>
    </row>
    <row r="77" spans="5:16" x14ac:dyDescent="0.55000000000000004">
      <c r="E77" s="5"/>
      <c r="K77" s="12" t="str">
        <f>IFERROR(Tabelle2[[#This Row],[Preis '[€']]]/(Tabelle2[[#This Row],[Menge '[g']]]),"")</f>
        <v/>
      </c>
      <c r="L77" s="12" t="str">
        <f>IFERROR(Tabelle2[[#This Row],[Preis '[€']]]/(Tabelle2[[#This Row],[Menge '[g']]]*Tabelle2[[#This Row],[Eiweiß '[g/100g']]]/100),"")</f>
        <v/>
      </c>
      <c r="M77" s="2" t="str">
        <f>IF(Tabelle2[[#This Row],[Kalorien '[kcal/100g']]]/100&lt;&gt;0,Tabelle2[[#This Row],[Kalorien '[kcal/100g']]]/100,"")</f>
        <v/>
      </c>
      <c r="N77" s="1" t="str">
        <f>IF(Tabelle2[[#This Row],[Eiweiß '[g/100g']]]/100&lt;&gt;0,Tabelle2[[#This Row],[Eiweiß '[g/100g']]]/100,"")</f>
        <v/>
      </c>
      <c r="O77" s="6"/>
      <c r="P77" s="6"/>
    </row>
    <row r="78" spans="5:16" x14ac:dyDescent="0.55000000000000004">
      <c r="E78" s="5"/>
      <c r="K78" s="12" t="str">
        <f>IFERROR(Tabelle2[[#This Row],[Preis '[€']]]/(Tabelle2[[#This Row],[Menge '[g']]]),"")</f>
        <v/>
      </c>
      <c r="L78" s="12" t="str">
        <f>IFERROR(Tabelle2[[#This Row],[Preis '[€']]]/(Tabelle2[[#This Row],[Menge '[g']]]*Tabelle2[[#This Row],[Eiweiß '[g/100g']]]/100),"")</f>
        <v/>
      </c>
      <c r="M78" s="2" t="str">
        <f>IF(Tabelle2[[#This Row],[Kalorien '[kcal/100g']]]/100&lt;&gt;0,Tabelle2[[#This Row],[Kalorien '[kcal/100g']]]/100,"")</f>
        <v/>
      </c>
      <c r="N78" s="1" t="str">
        <f>IF(Tabelle2[[#This Row],[Eiweiß '[g/100g']]]/100&lt;&gt;0,Tabelle2[[#This Row],[Eiweiß '[g/100g']]]/100,"")</f>
        <v/>
      </c>
      <c r="O78" s="6"/>
      <c r="P78" s="6"/>
    </row>
    <row r="79" spans="5:16" x14ac:dyDescent="0.55000000000000004">
      <c r="E79" s="5"/>
      <c r="K79" s="12" t="str">
        <f>IFERROR(Tabelle2[[#This Row],[Preis '[€']]]/(Tabelle2[[#This Row],[Menge '[g']]]),"")</f>
        <v/>
      </c>
      <c r="L79" s="12" t="str">
        <f>IFERROR(Tabelle2[[#This Row],[Preis '[€']]]/(Tabelle2[[#This Row],[Menge '[g']]]*Tabelle2[[#This Row],[Eiweiß '[g/100g']]]/100),"")</f>
        <v/>
      </c>
      <c r="M79" s="2" t="str">
        <f>IF(Tabelle2[[#This Row],[Kalorien '[kcal/100g']]]/100&lt;&gt;0,Tabelle2[[#This Row],[Kalorien '[kcal/100g']]]/100,"")</f>
        <v/>
      </c>
      <c r="N79" s="1" t="str">
        <f>IF(Tabelle2[[#This Row],[Eiweiß '[g/100g']]]/100&lt;&gt;0,Tabelle2[[#This Row],[Eiweiß '[g/100g']]]/100,"")</f>
        <v/>
      </c>
      <c r="O79" s="6"/>
      <c r="P79" s="6"/>
    </row>
    <row r="80" spans="5:16" x14ac:dyDescent="0.55000000000000004">
      <c r="E80" s="5"/>
      <c r="K80" s="12" t="str">
        <f>IFERROR(Tabelle2[[#This Row],[Preis '[€']]]/(Tabelle2[[#This Row],[Menge '[g']]]),"")</f>
        <v/>
      </c>
      <c r="L80" s="12" t="str">
        <f>IFERROR(Tabelle2[[#This Row],[Preis '[€']]]/(Tabelle2[[#This Row],[Menge '[g']]]*Tabelle2[[#This Row],[Eiweiß '[g/100g']]]/100),"")</f>
        <v/>
      </c>
      <c r="M80" s="2" t="str">
        <f>IF(Tabelle2[[#This Row],[Kalorien '[kcal/100g']]]/100&lt;&gt;0,Tabelle2[[#This Row],[Kalorien '[kcal/100g']]]/100,"")</f>
        <v/>
      </c>
      <c r="N80" s="1" t="str">
        <f>IF(Tabelle2[[#This Row],[Eiweiß '[g/100g']]]/100&lt;&gt;0,Tabelle2[[#This Row],[Eiweiß '[g/100g']]]/100,"")</f>
        <v/>
      </c>
      <c r="O80" s="6"/>
      <c r="P80" s="6"/>
    </row>
    <row r="81" spans="5:16" x14ac:dyDescent="0.55000000000000004">
      <c r="E81" s="5"/>
      <c r="K81" s="12" t="str">
        <f>IFERROR(Tabelle2[[#This Row],[Preis '[€']]]/(Tabelle2[[#This Row],[Menge '[g']]]),"")</f>
        <v/>
      </c>
      <c r="L81" s="12" t="str">
        <f>IFERROR(Tabelle2[[#This Row],[Preis '[€']]]/(Tabelle2[[#This Row],[Menge '[g']]]*Tabelle2[[#This Row],[Eiweiß '[g/100g']]]/100),"")</f>
        <v/>
      </c>
      <c r="M81" s="2" t="str">
        <f>IF(Tabelle2[[#This Row],[Kalorien '[kcal/100g']]]/100&lt;&gt;0,Tabelle2[[#This Row],[Kalorien '[kcal/100g']]]/100,"")</f>
        <v/>
      </c>
      <c r="N81" s="1" t="str">
        <f>IF(Tabelle2[[#This Row],[Eiweiß '[g/100g']]]/100&lt;&gt;0,Tabelle2[[#This Row],[Eiweiß '[g/100g']]]/100,"")</f>
        <v/>
      </c>
      <c r="O81" s="6"/>
      <c r="P81" s="6"/>
    </row>
    <row r="82" spans="5:16" x14ac:dyDescent="0.55000000000000004">
      <c r="E82" s="5"/>
      <c r="K82" s="12" t="str">
        <f>IFERROR(Tabelle2[[#This Row],[Preis '[€']]]/(Tabelle2[[#This Row],[Menge '[g']]]),"")</f>
        <v/>
      </c>
      <c r="L82" s="12" t="str">
        <f>IFERROR(Tabelle2[[#This Row],[Preis '[€']]]/(Tabelle2[[#This Row],[Menge '[g']]]*Tabelle2[[#This Row],[Eiweiß '[g/100g']]]/100),"")</f>
        <v/>
      </c>
      <c r="M82" s="2" t="str">
        <f>IF(Tabelle2[[#This Row],[Kalorien '[kcal/100g']]]/100&lt;&gt;0,Tabelle2[[#This Row],[Kalorien '[kcal/100g']]]/100,"")</f>
        <v/>
      </c>
      <c r="N82" s="1" t="str">
        <f>IF(Tabelle2[[#This Row],[Eiweiß '[g/100g']]]/100&lt;&gt;0,Tabelle2[[#This Row],[Eiweiß '[g/100g']]]/100,"")</f>
        <v/>
      </c>
      <c r="O82" s="6"/>
      <c r="P82" s="6"/>
    </row>
    <row r="83" spans="5:16" x14ac:dyDescent="0.55000000000000004">
      <c r="E83" s="5"/>
      <c r="K83" s="12" t="str">
        <f>IFERROR(Tabelle2[[#This Row],[Preis '[€']]]/(Tabelle2[[#This Row],[Menge '[g']]]),"")</f>
        <v/>
      </c>
      <c r="L83" s="12" t="str">
        <f>IFERROR(Tabelle2[[#This Row],[Preis '[€']]]/(Tabelle2[[#This Row],[Menge '[g']]]*Tabelle2[[#This Row],[Eiweiß '[g/100g']]]/100),"")</f>
        <v/>
      </c>
      <c r="M83" s="2" t="str">
        <f>IF(Tabelle2[[#This Row],[Kalorien '[kcal/100g']]]/100&lt;&gt;0,Tabelle2[[#This Row],[Kalorien '[kcal/100g']]]/100,"")</f>
        <v/>
      </c>
      <c r="N83" s="1" t="str">
        <f>IF(Tabelle2[[#This Row],[Eiweiß '[g/100g']]]/100&lt;&gt;0,Tabelle2[[#This Row],[Eiweiß '[g/100g']]]/100,"")</f>
        <v/>
      </c>
      <c r="O83" s="6"/>
      <c r="P83" s="6"/>
    </row>
    <row r="84" spans="5:16" x14ac:dyDescent="0.55000000000000004">
      <c r="E84" s="5"/>
      <c r="K84" s="12" t="str">
        <f>IFERROR(Tabelle2[[#This Row],[Preis '[€']]]/(Tabelle2[[#This Row],[Menge '[g']]]),"")</f>
        <v/>
      </c>
      <c r="L84" s="12" t="str">
        <f>IFERROR(Tabelle2[[#This Row],[Preis '[€']]]/(Tabelle2[[#This Row],[Menge '[g']]]*Tabelle2[[#This Row],[Eiweiß '[g/100g']]]/100),"")</f>
        <v/>
      </c>
      <c r="M84" s="2" t="str">
        <f>IF(Tabelle2[[#This Row],[Kalorien '[kcal/100g']]]/100&lt;&gt;0,Tabelle2[[#This Row],[Kalorien '[kcal/100g']]]/100,"")</f>
        <v/>
      </c>
      <c r="N84" s="1" t="str">
        <f>IF(Tabelle2[[#This Row],[Eiweiß '[g/100g']]]/100&lt;&gt;0,Tabelle2[[#This Row],[Eiweiß '[g/100g']]]/100,"")</f>
        <v/>
      </c>
      <c r="O84" s="6"/>
      <c r="P84" s="6"/>
    </row>
    <row r="85" spans="5:16" x14ac:dyDescent="0.55000000000000004">
      <c r="E85" s="5"/>
      <c r="K85" s="12" t="str">
        <f>IFERROR(Tabelle2[[#This Row],[Preis '[€']]]/(Tabelle2[[#This Row],[Menge '[g']]]),"")</f>
        <v/>
      </c>
      <c r="L85" s="12" t="str">
        <f>IFERROR(Tabelle2[[#This Row],[Preis '[€']]]/(Tabelle2[[#This Row],[Menge '[g']]]*Tabelle2[[#This Row],[Eiweiß '[g/100g']]]/100),"")</f>
        <v/>
      </c>
      <c r="M85" s="2" t="str">
        <f>IF(Tabelle2[[#This Row],[Kalorien '[kcal/100g']]]/100&lt;&gt;0,Tabelle2[[#This Row],[Kalorien '[kcal/100g']]]/100,"")</f>
        <v/>
      </c>
      <c r="N85" s="1" t="str">
        <f>IF(Tabelle2[[#This Row],[Eiweiß '[g/100g']]]/100&lt;&gt;0,Tabelle2[[#This Row],[Eiweiß '[g/100g']]]/100,"")</f>
        <v/>
      </c>
      <c r="O85" s="6"/>
      <c r="P85" s="6"/>
    </row>
    <row r="86" spans="5:16" x14ac:dyDescent="0.55000000000000004">
      <c r="E86" s="5"/>
      <c r="K86" s="12" t="str">
        <f>IFERROR(Tabelle2[[#This Row],[Preis '[€']]]/(Tabelle2[[#This Row],[Menge '[g']]]),"")</f>
        <v/>
      </c>
      <c r="L86" s="12" t="str">
        <f>IFERROR(Tabelle2[[#This Row],[Preis '[€']]]/(Tabelle2[[#This Row],[Menge '[g']]]*Tabelle2[[#This Row],[Eiweiß '[g/100g']]]/100),"")</f>
        <v/>
      </c>
      <c r="M86" s="2" t="str">
        <f>IF(Tabelle2[[#This Row],[Kalorien '[kcal/100g']]]/100&lt;&gt;0,Tabelle2[[#This Row],[Kalorien '[kcal/100g']]]/100,"")</f>
        <v/>
      </c>
      <c r="N86" s="1" t="str">
        <f>IF(Tabelle2[[#This Row],[Eiweiß '[g/100g']]]/100&lt;&gt;0,Tabelle2[[#This Row],[Eiweiß '[g/100g']]]/100,"")</f>
        <v/>
      </c>
      <c r="O86" s="6"/>
      <c r="P86" s="6"/>
    </row>
    <row r="87" spans="5:16" x14ac:dyDescent="0.55000000000000004">
      <c r="E87" s="5"/>
      <c r="K87" s="12" t="str">
        <f>IFERROR(Tabelle2[[#This Row],[Preis '[€']]]/(Tabelle2[[#This Row],[Menge '[g']]]),"")</f>
        <v/>
      </c>
      <c r="L87" s="12" t="str">
        <f>IFERROR(Tabelle2[[#This Row],[Preis '[€']]]/(Tabelle2[[#This Row],[Menge '[g']]]*Tabelle2[[#This Row],[Eiweiß '[g/100g']]]/100),"")</f>
        <v/>
      </c>
      <c r="M87" s="2" t="str">
        <f>IF(Tabelle2[[#This Row],[Kalorien '[kcal/100g']]]/100&lt;&gt;0,Tabelle2[[#This Row],[Kalorien '[kcal/100g']]]/100,"")</f>
        <v/>
      </c>
      <c r="N87" s="1" t="str">
        <f>IF(Tabelle2[[#This Row],[Eiweiß '[g/100g']]]/100&lt;&gt;0,Tabelle2[[#This Row],[Eiweiß '[g/100g']]]/100,"")</f>
        <v/>
      </c>
      <c r="O87" s="6"/>
      <c r="P87" s="6"/>
    </row>
    <row r="88" spans="5:16" x14ac:dyDescent="0.55000000000000004">
      <c r="E88" s="5"/>
      <c r="K88" s="12" t="str">
        <f>IFERROR(Tabelle2[[#This Row],[Preis '[€']]]/(Tabelle2[[#This Row],[Menge '[g']]]),"")</f>
        <v/>
      </c>
      <c r="L88" s="12" t="str">
        <f>IFERROR(Tabelle2[[#This Row],[Preis '[€']]]/(Tabelle2[[#This Row],[Menge '[g']]]*Tabelle2[[#This Row],[Eiweiß '[g/100g']]]/100),"")</f>
        <v/>
      </c>
      <c r="M88" s="2" t="str">
        <f>IF(Tabelle2[[#This Row],[Kalorien '[kcal/100g']]]/100&lt;&gt;0,Tabelle2[[#This Row],[Kalorien '[kcal/100g']]]/100,"")</f>
        <v/>
      </c>
      <c r="N88" s="1" t="str">
        <f>IF(Tabelle2[[#This Row],[Eiweiß '[g/100g']]]/100&lt;&gt;0,Tabelle2[[#This Row],[Eiweiß '[g/100g']]]/100,"")</f>
        <v/>
      </c>
      <c r="O88" s="6"/>
      <c r="P88" s="6"/>
    </row>
    <row r="89" spans="5:16" x14ac:dyDescent="0.55000000000000004">
      <c r="E89" s="5"/>
      <c r="K89" s="12" t="str">
        <f>IFERROR(Tabelle2[[#This Row],[Preis '[€']]]/(Tabelle2[[#This Row],[Menge '[g']]]),"")</f>
        <v/>
      </c>
      <c r="L89" s="12" t="str">
        <f>IFERROR(Tabelle2[[#This Row],[Preis '[€']]]/(Tabelle2[[#This Row],[Menge '[g']]]*Tabelle2[[#This Row],[Eiweiß '[g/100g']]]/100),"")</f>
        <v/>
      </c>
      <c r="M89" s="2" t="str">
        <f>IF(Tabelle2[[#This Row],[Kalorien '[kcal/100g']]]/100&lt;&gt;0,Tabelle2[[#This Row],[Kalorien '[kcal/100g']]]/100,"")</f>
        <v/>
      </c>
      <c r="N89" s="1" t="str">
        <f>IF(Tabelle2[[#This Row],[Eiweiß '[g/100g']]]/100&lt;&gt;0,Tabelle2[[#This Row],[Eiweiß '[g/100g']]]/100,"")</f>
        <v/>
      </c>
      <c r="O89" s="6"/>
      <c r="P89" s="6"/>
    </row>
    <row r="90" spans="5:16" x14ac:dyDescent="0.55000000000000004">
      <c r="E90" s="5"/>
      <c r="K90" s="12" t="str">
        <f>IFERROR(Tabelle2[[#This Row],[Preis '[€']]]/(Tabelle2[[#This Row],[Menge '[g']]]),"")</f>
        <v/>
      </c>
      <c r="L90" s="12" t="str">
        <f>IFERROR(Tabelle2[[#This Row],[Preis '[€']]]/(Tabelle2[[#This Row],[Menge '[g']]]*Tabelle2[[#This Row],[Eiweiß '[g/100g']]]/100),"")</f>
        <v/>
      </c>
      <c r="M90" s="2" t="str">
        <f>IF(Tabelle2[[#This Row],[Kalorien '[kcal/100g']]]/100&lt;&gt;0,Tabelle2[[#This Row],[Kalorien '[kcal/100g']]]/100,"")</f>
        <v/>
      </c>
      <c r="N90" s="1" t="str">
        <f>IF(Tabelle2[[#This Row],[Eiweiß '[g/100g']]]/100&lt;&gt;0,Tabelle2[[#This Row],[Eiweiß '[g/100g']]]/100,"")</f>
        <v/>
      </c>
      <c r="O90" s="6"/>
      <c r="P90" s="6"/>
    </row>
    <row r="91" spans="5:16" x14ac:dyDescent="0.55000000000000004">
      <c r="E91" s="5"/>
      <c r="K91" s="12" t="str">
        <f>IFERROR(Tabelle2[[#This Row],[Preis '[€']]]/(Tabelle2[[#This Row],[Menge '[g']]]),"")</f>
        <v/>
      </c>
      <c r="L91" s="12" t="str">
        <f>IFERROR(Tabelle2[[#This Row],[Preis '[€']]]/(Tabelle2[[#This Row],[Menge '[g']]]*Tabelle2[[#This Row],[Eiweiß '[g/100g']]]/100),"")</f>
        <v/>
      </c>
      <c r="M91" s="2" t="str">
        <f>IF(Tabelle2[[#This Row],[Kalorien '[kcal/100g']]]/100&lt;&gt;0,Tabelle2[[#This Row],[Kalorien '[kcal/100g']]]/100,"")</f>
        <v/>
      </c>
      <c r="N91" s="1" t="str">
        <f>IF(Tabelle2[[#This Row],[Eiweiß '[g/100g']]]/100&lt;&gt;0,Tabelle2[[#This Row],[Eiweiß '[g/100g']]]/100,"")</f>
        <v/>
      </c>
      <c r="O91" s="6"/>
      <c r="P91" s="6"/>
    </row>
    <row r="92" spans="5:16" x14ac:dyDescent="0.55000000000000004">
      <c r="E92" s="5"/>
      <c r="K92" s="12" t="str">
        <f>IFERROR(Tabelle2[[#This Row],[Preis '[€']]]/(Tabelle2[[#This Row],[Menge '[g']]]),"")</f>
        <v/>
      </c>
      <c r="L92" s="12" t="str">
        <f>IFERROR(Tabelle2[[#This Row],[Preis '[€']]]/(Tabelle2[[#This Row],[Menge '[g']]]*Tabelle2[[#This Row],[Eiweiß '[g/100g']]]/100),"")</f>
        <v/>
      </c>
      <c r="M92" s="2" t="str">
        <f>IF(Tabelle2[[#This Row],[Kalorien '[kcal/100g']]]/100&lt;&gt;0,Tabelle2[[#This Row],[Kalorien '[kcal/100g']]]/100,"")</f>
        <v/>
      </c>
      <c r="N92" s="1" t="str">
        <f>IF(Tabelle2[[#This Row],[Eiweiß '[g/100g']]]/100&lt;&gt;0,Tabelle2[[#This Row],[Eiweiß '[g/100g']]]/100,"")</f>
        <v/>
      </c>
      <c r="O92" s="6"/>
      <c r="P92" s="6"/>
    </row>
    <row r="93" spans="5:16" x14ac:dyDescent="0.55000000000000004">
      <c r="E93" s="5"/>
      <c r="K93" s="12" t="str">
        <f>IFERROR(Tabelle2[[#This Row],[Preis '[€']]]/(Tabelle2[[#This Row],[Menge '[g']]]),"")</f>
        <v/>
      </c>
      <c r="L93" s="12" t="str">
        <f>IFERROR(Tabelle2[[#This Row],[Preis '[€']]]/(Tabelle2[[#This Row],[Menge '[g']]]*Tabelle2[[#This Row],[Eiweiß '[g/100g']]]/100),"")</f>
        <v/>
      </c>
      <c r="M93" s="2" t="str">
        <f>IF(Tabelle2[[#This Row],[Kalorien '[kcal/100g']]]/100&lt;&gt;0,Tabelle2[[#This Row],[Kalorien '[kcal/100g']]]/100,"")</f>
        <v/>
      </c>
      <c r="N93" s="1" t="str">
        <f>IF(Tabelle2[[#This Row],[Eiweiß '[g/100g']]]/100&lt;&gt;0,Tabelle2[[#This Row],[Eiweiß '[g/100g']]]/100,"")</f>
        <v/>
      </c>
      <c r="O93" s="6"/>
      <c r="P93" s="6"/>
    </row>
    <row r="94" spans="5:16" x14ac:dyDescent="0.55000000000000004">
      <c r="E94" s="5"/>
      <c r="K94" s="12" t="str">
        <f>IFERROR(Tabelle2[[#This Row],[Preis '[€']]]/(Tabelle2[[#This Row],[Menge '[g']]]),"")</f>
        <v/>
      </c>
      <c r="L94" s="12" t="str">
        <f>IFERROR(Tabelle2[[#This Row],[Preis '[€']]]/(Tabelle2[[#This Row],[Menge '[g']]]*Tabelle2[[#This Row],[Eiweiß '[g/100g']]]/100),"")</f>
        <v/>
      </c>
      <c r="M94" s="2" t="str">
        <f>IF(Tabelle2[[#This Row],[Kalorien '[kcal/100g']]]/100&lt;&gt;0,Tabelle2[[#This Row],[Kalorien '[kcal/100g']]]/100,"")</f>
        <v/>
      </c>
      <c r="N94" s="1" t="str">
        <f>IF(Tabelle2[[#This Row],[Eiweiß '[g/100g']]]/100&lt;&gt;0,Tabelle2[[#This Row],[Eiweiß '[g/100g']]]/100,"")</f>
        <v/>
      </c>
      <c r="O94" s="6"/>
      <c r="P94" s="6"/>
    </row>
    <row r="95" spans="5:16" x14ac:dyDescent="0.55000000000000004">
      <c r="E95" s="5"/>
      <c r="K95" s="12" t="str">
        <f>IFERROR(Tabelle2[[#This Row],[Preis '[€']]]/(Tabelle2[[#This Row],[Menge '[g']]]),"")</f>
        <v/>
      </c>
      <c r="L95" s="12" t="str">
        <f>IFERROR(Tabelle2[[#This Row],[Preis '[€']]]/(Tabelle2[[#This Row],[Menge '[g']]]*Tabelle2[[#This Row],[Eiweiß '[g/100g']]]/100),"")</f>
        <v/>
      </c>
      <c r="M95" s="2" t="str">
        <f>IF(Tabelle2[[#This Row],[Kalorien '[kcal/100g']]]/100&lt;&gt;0,Tabelle2[[#This Row],[Kalorien '[kcal/100g']]]/100,"")</f>
        <v/>
      </c>
      <c r="N95" s="1" t="str">
        <f>IF(Tabelle2[[#This Row],[Eiweiß '[g/100g']]]/100&lt;&gt;0,Tabelle2[[#This Row],[Eiweiß '[g/100g']]]/100,"")</f>
        <v/>
      </c>
      <c r="O95" s="6"/>
      <c r="P95" s="6"/>
    </row>
    <row r="96" spans="5:16" x14ac:dyDescent="0.55000000000000004">
      <c r="E96" s="5"/>
      <c r="K96" s="12" t="str">
        <f>IFERROR(Tabelle2[[#This Row],[Preis '[€']]]/(Tabelle2[[#This Row],[Menge '[g']]]),"")</f>
        <v/>
      </c>
      <c r="L96" s="12" t="str">
        <f>IFERROR(Tabelle2[[#This Row],[Preis '[€']]]/(Tabelle2[[#This Row],[Menge '[g']]]*Tabelle2[[#This Row],[Eiweiß '[g/100g']]]/100),"")</f>
        <v/>
      </c>
      <c r="M96" s="2" t="str">
        <f>IF(Tabelle2[[#This Row],[Kalorien '[kcal/100g']]]/100&lt;&gt;0,Tabelle2[[#This Row],[Kalorien '[kcal/100g']]]/100,"")</f>
        <v/>
      </c>
      <c r="N96" s="1" t="str">
        <f>IF(Tabelle2[[#This Row],[Eiweiß '[g/100g']]]/100&lt;&gt;0,Tabelle2[[#This Row],[Eiweiß '[g/100g']]]/100,"")</f>
        <v/>
      </c>
      <c r="O96" s="6"/>
      <c r="P96" s="6"/>
    </row>
    <row r="97" spans="5:16" x14ac:dyDescent="0.55000000000000004">
      <c r="E97" s="5"/>
      <c r="K97" s="12" t="str">
        <f>IFERROR(Tabelle2[[#This Row],[Preis '[€']]]/(Tabelle2[[#This Row],[Menge '[g']]]),"")</f>
        <v/>
      </c>
      <c r="L97" s="12" t="str">
        <f>IFERROR(Tabelle2[[#This Row],[Preis '[€']]]/(Tabelle2[[#This Row],[Menge '[g']]]*Tabelle2[[#This Row],[Eiweiß '[g/100g']]]/100),"")</f>
        <v/>
      </c>
      <c r="M97" s="2" t="str">
        <f>IF(Tabelle2[[#This Row],[Kalorien '[kcal/100g']]]/100&lt;&gt;0,Tabelle2[[#This Row],[Kalorien '[kcal/100g']]]/100,"")</f>
        <v/>
      </c>
      <c r="N97" s="1" t="str">
        <f>IF(Tabelle2[[#This Row],[Eiweiß '[g/100g']]]/100&lt;&gt;0,Tabelle2[[#This Row],[Eiweiß '[g/100g']]]/100,"")</f>
        <v/>
      </c>
      <c r="O97" s="6"/>
      <c r="P97" s="6"/>
    </row>
    <row r="98" spans="5:16" x14ac:dyDescent="0.55000000000000004">
      <c r="E98" s="5"/>
      <c r="K98" s="12" t="str">
        <f>IFERROR(Tabelle2[[#This Row],[Preis '[€']]]/(Tabelle2[[#This Row],[Menge '[g']]]),"")</f>
        <v/>
      </c>
      <c r="L98" s="12" t="str">
        <f>IFERROR(Tabelle2[[#This Row],[Preis '[€']]]/(Tabelle2[[#This Row],[Menge '[g']]]*Tabelle2[[#This Row],[Eiweiß '[g/100g']]]/100),"")</f>
        <v/>
      </c>
      <c r="M98" s="2" t="str">
        <f>IF(Tabelle2[[#This Row],[Kalorien '[kcal/100g']]]/100&lt;&gt;0,Tabelle2[[#This Row],[Kalorien '[kcal/100g']]]/100,"")</f>
        <v/>
      </c>
      <c r="N98" s="1" t="str">
        <f>IF(Tabelle2[[#This Row],[Eiweiß '[g/100g']]]/100&lt;&gt;0,Tabelle2[[#This Row],[Eiweiß '[g/100g']]]/100,"")</f>
        <v/>
      </c>
      <c r="O98" s="6"/>
      <c r="P98" s="6"/>
    </row>
    <row r="99" spans="5:16" x14ac:dyDescent="0.55000000000000004">
      <c r="E99" s="5"/>
      <c r="K99" s="12" t="str">
        <f>IFERROR(Tabelle2[[#This Row],[Preis '[€']]]/(Tabelle2[[#This Row],[Menge '[g']]]),"")</f>
        <v/>
      </c>
      <c r="L99" s="12" t="str">
        <f>IFERROR(Tabelle2[[#This Row],[Preis '[€']]]/(Tabelle2[[#This Row],[Menge '[g']]]*Tabelle2[[#This Row],[Eiweiß '[g/100g']]]/100),"")</f>
        <v/>
      </c>
      <c r="M99" s="2" t="str">
        <f>IF(Tabelle2[[#This Row],[Kalorien '[kcal/100g']]]/100&lt;&gt;0,Tabelle2[[#This Row],[Kalorien '[kcal/100g']]]/100,"")</f>
        <v/>
      </c>
      <c r="N99" s="1" t="str">
        <f>IF(Tabelle2[[#This Row],[Eiweiß '[g/100g']]]/100&lt;&gt;0,Tabelle2[[#This Row],[Eiweiß '[g/100g']]]/100,"")</f>
        <v/>
      </c>
      <c r="O99" s="6"/>
      <c r="P99" s="6"/>
    </row>
    <row r="100" spans="5:16" x14ac:dyDescent="0.55000000000000004">
      <c r="E100" s="5"/>
      <c r="K100" s="12" t="str">
        <f>IFERROR(Tabelle2[[#This Row],[Preis '[€']]]/(Tabelle2[[#This Row],[Menge '[g']]]),"")</f>
        <v/>
      </c>
      <c r="L100" s="12" t="str">
        <f>IFERROR(Tabelle2[[#This Row],[Preis '[€']]]/(Tabelle2[[#This Row],[Menge '[g']]]*Tabelle2[[#This Row],[Eiweiß '[g/100g']]]/100),"")</f>
        <v/>
      </c>
      <c r="M100" s="2" t="str">
        <f>IF(Tabelle2[[#This Row],[Kalorien '[kcal/100g']]]/100&lt;&gt;0,Tabelle2[[#This Row],[Kalorien '[kcal/100g']]]/100,"")</f>
        <v/>
      </c>
      <c r="N100" s="1" t="str">
        <f>IF(Tabelle2[[#This Row],[Eiweiß '[g/100g']]]/100&lt;&gt;0,Tabelle2[[#This Row],[Eiweiß '[g/100g']]]/100,"")</f>
        <v/>
      </c>
      <c r="O100" s="6"/>
      <c r="P100" s="6"/>
    </row>
    <row r="101" spans="5:16" x14ac:dyDescent="0.55000000000000004">
      <c r="E101" s="5"/>
      <c r="K101" s="12" t="str">
        <f>IFERROR(Tabelle2[[#This Row],[Preis '[€']]]/(Tabelle2[[#This Row],[Menge '[g']]]),"")</f>
        <v/>
      </c>
      <c r="L101" s="12" t="str">
        <f>IFERROR(Tabelle2[[#This Row],[Preis '[€']]]/(Tabelle2[[#This Row],[Menge '[g']]]*Tabelle2[[#This Row],[Eiweiß '[g/100g']]]/100),"")</f>
        <v/>
      </c>
      <c r="M101" s="2" t="str">
        <f>IF(Tabelle2[[#This Row],[Kalorien '[kcal/100g']]]/100&lt;&gt;0,Tabelle2[[#This Row],[Kalorien '[kcal/100g']]]/100,"")</f>
        <v/>
      </c>
      <c r="N101" s="1" t="str">
        <f>IF(Tabelle2[[#This Row],[Eiweiß '[g/100g']]]/100&lt;&gt;0,Tabelle2[[#This Row],[Eiweiß '[g/100g']]]/100,"")</f>
        <v/>
      </c>
      <c r="O101" s="6"/>
      <c r="P101" s="6"/>
    </row>
    <row r="102" spans="5:16" x14ac:dyDescent="0.55000000000000004">
      <c r="E102" s="5"/>
      <c r="K102" s="12" t="str">
        <f>IFERROR(Tabelle2[[#This Row],[Preis '[€']]]/(Tabelle2[[#This Row],[Menge '[g']]]),"")</f>
        <v/>
      </c>
      <c r="L102" s="12" t="str">
        <f>IFERROR(Tabelle2[[#This Row],[Preis '[€']]]/(Tabelle2[[#This Row],[Menge '[g']]]*Tabelle2[[#This Row],[Eiweiß '[g/100g']]]/100),"")</f>
        <v/>
      </c>
      <c r="M102" s="2" t="str">
        <f>IF(Tabelle2[[#This Row],[Kalorien '[kcal/100g']]]/100&lt;&gt;0,Tabelle2[[#This Row],[Kalorien '[kcal/100g']]]/100,"")</f>
        <v/>
      </c>
      <c r="N102" s="1" t="str">
        <f>IF(Tabelle2[[#This Row],[Eiweiß '[g/100g']]]/100&lt;&gt;0,Tabelle2[[#This Row],[Eiweiß '[g/100g']]]/100,"")</f>
        <v/>
      </c>
      <c r="O102" s="6"/>
      <c r="P102" s="6"/>
    </row>
    <row r="103" spans="5:16" x14ac:dyDescent="0.55000000000000004">
      <c r="E103" s="5"/>
      <c r="K103" s="12" t="str">
        <f>IFERROR(Tabelle2[[#This Row],[Preis '[€']]]/(Tabelle2[[#This Row],[Menge '[g']]]),"")</f>
        <v/>
      </c>
      <c r="L103" s="12" t="str">
        <f>IFERROR(Tabelle2[[#This Row],[Preis '[€']]]/(Tabelle2[[#This Row],[Menge '[g']]]*Tabelle2[[#This Row],[Eiweiß '[g/100g']]]/100),"")</f>
        <v/>
      </c>
      <c r="M103" s="2" t="str">
        <f>IF(Tabelle2[[#This Row],[Kalorien '[kcal/100g']]]/100&lt;&gt;0,Tabelle2[[#This Row],[Kalorien '[kcal/100g']]]/100,"")</f>
        <v/>
      </c>
      <c r="N103" s="1" t="str">
        <f>IF(Tabelle2[[#This Row],[Eiweiß '[g/100g']]]/100&lt;&gt;0,Tabelle2[[#This Row],[Eiweiß '[g/100g']]]/100,"")</f>
        <v/>
      </c>
      <c r="O103" s="6"/>
      <c r="P103" s="6"/>
    </row>
    <row r="104" spans="5:16" x14ac:dyDescent="0.55000000000000004">
      <c r="E104" s="5"/>
      <c r="K104" s="12" t="str">
        <f>IFERROR(Tabelle2[[#This Row],[Preis '[€']]]/(Tabelle2[[#This Row],[Menge '[g']]]),"")</f>
        <v/>
      </c>
      <c r="L104" s="12" t="str">
        <f>IFERROR(Tabelle2[[#This Row],[Preis '[€']]]/(Tabelle2[[#This Row],[Menge '[g']]]*Tabelle2[[#This Row],[Eiweiß '[g/100g']]]/100),"")</f>
        <v/>
      </c>
      <c r="M104" s="2" t="str">
        <f>IF(Tabelle2[[#This Row],[Kalorien '[kcal/100g']]]/100&lt;&gt;0,Tabelle2[[#This Row],[Kalorien '[kcal/100g']]]/100,"")</f>
        <v/>
      </c>
      <c r="N104" s="1" t="str">
        <f>IF(Tabelle2[[#This Row],[Eiweiß '[g/100g']]]/100&lt;&gt;0,Tabelle2[[#This Row],[Eiweiß '[g/100g']]]/100,"")</f>
        <v/>
      </c>
      <c r="O104" s="6"/>
      <c r="P104" s="6"/>
    </row>
    <row r="105" spans="5:16" x14ac:dyDescent="0.55000000000000004">
      <c r="E105" s="5"/>
      <c r="K105" s="12" t="str">
        <f>IFERROR(Tabelle2[[#This Row],[Preis '[€']]]/(Tabelle2[[#This Row],[Menge '[g']]]),"")</f>
        <v/>
      </c>
      <c r="L105" s="12" t="str">
        <f>IFERROR(Tabelle2[[#This Row],[Preis '[€']]]/(Tabelle2[[#This Row],[Menge '[g']]]*Tabelle2[[#This Row],[Eiweiß '[g/100g']]]/100),"")</f>
        <v/>
      </c>
      <c r="M105" s="2" t="str">
        <f>IF(Tabelle2[[#This Row],[Kalorien '[kcal/100g']]]/100&lt;&gt;0,Tabelle2[[#This Row],[Kalorien '[kcal/100g']]]/100,"")</f>
        <v/>
      </c>
      <c r="N105" s="1" t="str">
        <f>IF(Tabelle2[[#This Row],[Eiweiß '[g/100g']]]/100&lt;&gt;0,Tabelle2[[#This Row],[Eiweiß '[g/100g']]]/100,"")</f>
        <v/>
      </c>
      <c r="O105" s="6"/>
      <c r="P105" s="6"/>
    </row>
    <row r="106" spans="5:16" x14ac:dyDescent="0.55000000000000004">
      <c r="E106" s="5"/>
      <c r="K106" s="12" t="str">
        <f>IFERROR(Tabelle2[[#This Row],[Preis '[€']]]/(Tabelle2[[#This Row],[Menge '[g']]]),"")</f>
        <v/>
      </c>
      <c r="L106" s="12" t="str">
        <f>IFERROR(Tabelle2[[#This Row],[Preis '[€']]]/(Tabelle2[[#This Row],[Menge '[g']]]*Tabelle2[[#This Row],[Eiweiß '[g/100g']]]/100),"")</f>
        <v/>
      </c>
      <c r="M106" s="2" t="str">
        <f>IF(Tabelle2[[#This Row],[Kalorien '[kcal/100g']]]/100&lt;&gt;0,Tabelle2[[#This Row],[Kalorien '[kcal/100g']]]/100,"")</f>
        <v/>
      </c>
      <c r="N106" s="1" t="str">
        <f>IF(Tabelle2[[#This Row],[Eiweiß '[g/100g']]]/100&lt;&gt;0,Tabelle2[[#This Row],[Eiweiß '[g/100g']]]/100,"")</f>
        <v/>
      </c>
      <c r="O106" s="6"/>
      <c r="P106" s="6"/>
    </row>
    <row r="107" spans="5:16" x14ac:dyDescent="0.55000000000000004">
      <c r="E107" s="5"/>
      <c r="K107" s="12" t="str">
        <f>IFERROR(Tabelle2[[#This Row],[Preis '[€']]]/(Tabelle2[[#This Row],[Menge '[g']]]),"")</f>
        <v/>
      </c>
      <c r="L107" s="12" t="str">
        <f>IFERROR(Tabelle2[[#This Row],[Preis '[€']]]/(Tabelle2[[#This Row],[Menge '[g']]]*Tabelle2[[#This Row],[Eiweiß '[g/100g']]]/100),"")</f>
        <v/>
      </c>
      <c r="M107" s="2" t="str">
        <f>IF(Tabelle2[[#This Row],[Kalorien '[kcal/100g']]]/100&lt;&gt;0,Tabelle2[[#This Row],[Kalorien '[kcal/100g']]]/100,"")</f>
        <v/>
      </c>
      <c r="N107" s="1" t="str">
        <f>IF(Tabelle2[[#This Row],[Eiweiß '[g/100g']]]/100&lt;&gt;0,Tabelle2[[#This Row],[Eiweiß '[g/100g']]]/100,"")</f>
        <v/>
      </c>
      <c r="O107" s="6"/>
      <c r="P107" s="6"/>
    </row>
    <row r="108" spans="5:16" x14ac:dyDescent="0.55000000000000004">
      <c r="E108" s="5"/>
      <c r="K108" s="12" t="str">
        <f>IFERROR(Tabelle2[[#This Row],[Preis '[€']]]/(Tabelle2[[#This Row],[Menge '[g']]]),"")</f>
        <v/>
      </c>
      <c r="L108" s="12" t="str">
        <f>IFERROR(Tabelle2[[#This Row],[Preis '[€']]]/(Tabelle2[[#This Row],[Menge '[g']]]*Tabelle2[[#This Row],[Eiweiß '[g/100g']]]/100),"")</f>
        <v/>
      </c>
      <c r="M108" s="2" t="str">
        <f>IF(Tabelle2[[#This Row],[Kalorien '[kcal/100g']]]/100&lt;&gt;0,Tabelle2[[#This Row],[Kalorien '[kcal/100g']]]/100,"")</f>
        <v/>
      </c>
      <c r="N108" s="1" t="str">
        <f>IF(Tabelle2[[#This Row],[Eiweiß '[g/100g']]]/100&lt;&gt;0,Tabelle2[[#This Row],[Eiweiß '[g/100g']]]/100,"")</f>
        <v/>
      </c>
      <c r="O108" s="6"/>
      <c r="P108" s="6"/>
    </row>
    <row r="109" spans="5:16" x14ac:dyDescent="0.55000000000000004">
      <c r="E109" s="5"/>
      <c r="K109" s="12" t="str">
        <f>IFERROR(Tabelle2[[#This Row],[Preis '[€']]]/(Tabelle2[[#This Row],[Menge '[g']]]),"")</f>
        <v/>
      </c>
      <c r="L109" s="12" t="str">
        <f>IFERROR(Tabelle2[[#This Row],[Preis '[€']]]/(Tabelle2[[#This Row],[Menge '[g']]]*Tabelle2[[#This Row],[Eiweiß '[g/100g']]]/100),"")</f>
        <v/>
      </c>
      <c r="M109" s="2" t="str">
        <f>IF(Tabelle2[[#This Row],[Kalorien '[kcal/100g']]]/100&lt;&gt;0,Tabelle2[[#This Row],[Kalorien '[kcal/100g']]]/100,"")</f>
        <v/>
      </c>
      <c r="N109" s="1" t="str">
        <f>IF(Tabelle2[[#This Row],[Eiweiß '[g/100g']]]/100&lt;&gt;0,Tabelle2[[#This Row],[Eiweiß '[g/100g']]]/100,"")</f>
        <v/>
      </c>
      <c r="O109" s="6"/>
      <c r="P109" s="6"/>
    </row>
    <row r="110" spans="5:16" x14ac:dyDescent="0.55000000000000004">
      <c r="E110" s="5"/>
      <c r="K110" s="12" t="str">
        <f>IFERROR(Tabelle2[[#This Row],[Preis '[€']]]/(Tabelle2[[#This Row],[Menge '[g']]]),"")</f>
        <v/>
      </c>
      <c r="L110" s="12" t="str">
        <f>IFERROR(Tabelle2[[#This Row],[Preis '[€']]]/(Tabelle2[[#This Row],[Menge '[g']]]*Tabelle2[[#This Row],[Eiweiß '[g/100g']]]/100),"")</f>
        <v/>
      </c>
      <c r="M110" s="2" t="str">
        <f>IF(Tabelle2[[#This Row],[Kalorien '[kcal/100g']]]/100&lt;&gt;0,Tabelle2[[#This Row],[Kalorien '[kcal/100g']]]/100,"")</f>
        <v/>
      </c>
      <c r="N110" s="1" t="str">
        <f>IF(Tabelle2[[#This Row],[Eiweiß '[g/100g']]]/100&lt;&gt;0,Tabelle2[[#This Row],[Eiweiß '[g/100g']]]/100,"")</f>
        <v/>
      </c>
      <c r="O110" s="6"/>
      <c r="P110" s="6"/>
    </row>
    <row r="111" spans="5:16" x14ac:dyDescent="0.55000000000000004">
      <c r="E111" s="5"/>
      <c r="K111" s="12" t="str">
        <f>IFERROR(Tabelle2[[#This Row],[Preis '[€']]]/(Tabelle2[[#This Row],[Menge '[g']]]),"")</f>
        <v/>
      </c>
      <c r="L111" s="12" t="str">
        <f>IFERROR(Tabelle2[[#This Row],[Preis '[€']]]/(Tabelle2[[#This Row],[Menge '[g']]]*Tabelle2[[#This Row],[Eiweiß '[g/100g']]]/100),"")</f>
        <v/>
      </c>
      <c r="M111" s="2" t="str">
        <f>IF(Tabelle2[[#This Row],[Kalorien '[kcal/100g']]]/100&lt;&gt;0,Tabelle2[[#This Row],[Kalorien '[kcal/100g']]]/100,"")</f>
        <v/>
      </c>
      <c r="N111" s="1" t="str">
        <f>IF(Tabelle2[[#This Row],[Eiweiß '[g/100g']]]/100&lt;&gt;0,Tabelle2[[#This Row],[Eiweiß '[g/100g']]]/100,"")</f>
        <v/>
      </c>
      <c r="O111" s="6"/>
      <c r="P111" s="6"/>
    </row>
    <row r="112" spans="5:16" x14ac:dyDescent="0.55000000000000004">
      <c r="E112" s="5"/>
      <c r="K112" s="12" t="str">
        <f>IFERROR(Tabelle2[[#This Row],[Preis '[€']]]/(Tabelle2[[#This Row],[Menge '[g']]]),"")</f>
        <v/>
      </c>
      <c r="L112" s="12" t="str">
        <f>IFERROR(Tabelle2[[#This Row],[Preis '[€']]]/(Tabelle2[[#This Row],[Menge '[g']]]*Tabelle2[[#This Row],[Eiweiß '[g/100g']]]/100),"")</f>
        <v/>
      </c>
      <c r="M112" s="2" t="str">
        <f>IF(Tabelle2[[#This Row],[Kalorien '[kcal/100g']]]/100&lt;&gt;0,Tabelle2[[#This Row],[Kalorien '[kcal/100g']]]/100,"")</f>
        <v/>
      </c>
      <c r="N112" s="1" t="str">
        <f>IF(Tabelle2[[#This Row],[Eiweiß '[g/100g']]]/100&lt;&gt;0,Tabelle2[[#This Row],[Eiweiß '[g/100g']]]/100,"")</f>
        <v/>
      </c>
      <c r="O112" s="6"/>
      <c r="P112" s="6"/>
    </row>
    <row r="113" spans="5:16" x14ac:dyDescent="0.55000000000000004">
      <c r="E113" s="5"/>
      <c r="K113" s="12" t="str">
        <f>IFERROR(Tabelle2[[#This Row],[Preis '[€']]]/(Tabelle2[[#This Row],[Menge '[g']]]),"")</f>
        <v/>
      </c>
      <c r="L113" s="12" t="str">
        <f>IFERROR(Tabelle2[[#This Row],[Preis '[€']]]/(Tabelle2[[#This Row],[Menge '[g']]]*Tabelle2[[#This Row],[Eiweiß '[g/100g']]]/100),"")</f>
        <v/>
      </c>
      <c r="M113" s="2" t="str">
        <f>IF(Tabelle2[[#This Row],[Kalorien '[kcal/100g']]]/100&lt;&gt;0,Tabelle2[[#This Row],[Kalorien '[kcal/100g']]]/100,"")</f>
        <v/>
      </c>
      <c r="N113" s="1" t="str">
        <f>IF(Tabelle2[[#This Row],[Eiweiß '[g/100g']]]/100&lt;&gt;0,Tabelle2[[#This Row],[Eiweiß '[g/100g']]]/100,"")</f>
        <v/>
      </c>
      <c r="O113" s="6"/>
      <c r="P113" s="6"/>
    </row>
    <row r="114" spans="5:16" x14ac:dyDescent="0.55000000000000004">
      <c r="E114" s="5"/>
      <c r="K114" s="12" t="str">
        <f>IFERROR(Tabelle2[[#This Row],[Preis '[€']]]/(Tabelle2[[#This Row],[Menge '[g']]]),"")</f>
        <v/>
      </c>
      <c r="L114" s="12" t="str">
        <f>IFERROR(Tabelle2[[#This Row],[Preis '[€']]]/(Tabelle2[[#This Row],[Menge '[g']]]*Tabelle2[[#This Row],[Eiweiß '[g/100g']]]/100),"")</f>
        <v/>
      </c>
      <c r="M114" s="2" t="str">
        <f>IF(Tabelle2[[#This Row],[Kalorien '[kcal/100g']]]/100&lt;&gt;0,Tabelle2[[#This Row],[Kalorien '[kcal/100g']]]/100,"")</f>
        <v/>
      </c>
      <c r="N114" s="1" t="str">
        <f>IF(Tabelle2[[#This Row],[Eiweiß '[g/100g']]]/100&lt;&gt;0,Tabelle2[[#This Row],[Eiweiß '[g/100g']]]/100,"")</f>
        <v/>
      </c>
      <c r="O114" s="6"/>
      <c r="P114" s="6"/>
    </row>
    <row r="115" spans="5:16" x14ac:dyDescent="0.55000000000000004">
      <c r="E115" s="5"/>
      <c r="K115" s="12" t="str">
        <f>IFERROR(Tabelle2[[#This Row],[Preis '[€']]]/(Tabelle2[[#This Row],[Menge '[g']]]),"")</f>
        <v/>
      </c>
      <c r="L115" s="12" t="str">
        <f>IFERROR(Tabelle2[[#This Row],[Preis '[€']]]/(Tabelle2[[#This Row],[Menge '[g']]]*Tabelle2[[#This Row],[Eiweiß '[g/100g']]]/100),"")</f>
        <v/>
      </c>
      <c r="M115" s="2" t="str">
        <f>IF(Tabelle2[[#This Row],[Kalorien '[kcal/100g']]]/100&lt;&gt;0,Tabelle2[[#This Row],[Kalorien '[kcal/100g']]]/100,"")</f>
        <v/>
      </c>
      <c r="N115" s="1" t="str">
        <f>IF(Tabelle2[[#This Row],[Eiweiß '[g/100g']]]/100&lt;&gt;0,Tabelle2[[#This Row],[Eiweiß '[g/100g']]]/100,"")</f>
        <v/>
      </c>
      <c r="O115" s="6"/>
      <c r="P115" s="6"/>
    </row>
    <row r="116" spans="5:16" x14ac:dyDescent="0.55000000000000004">
      <c r="E116" s="5"/>
      <c r="K116" s="12" t="str">
        <f>IFERROR(Tabelle2[[#This Row],[Preis '[€']]]/(Tabelle2[[#This Row],[Menge '[g']]]),"")</f>
        <v/>
      </c>
      <c r="L116" s="12" t="str">
        <f>IFERROR(Tabelle2[[#This Row],[Preis '[€']]]/(Tabelle2[[#This Row],[Menge '[g']]]*Tabelle2[[#This Row],[Eiweiß '[g/100g']]]/100),"")</f>
        <v/>
      </c>
      <c r="M116" s="2" t="str">
        <f>IF(Tabelle2[[#This Row],[Kalorien '[kcal/100g']]]/100&lt;&gt;0,Tabelle2[[#This Row],[Kalorien '[kcal/100g']]]/100,"")</f>
        <v/>
      </c>
      <c r="N116" s="1" t="str">
        <f>IF(Tabelle2[[#This Row],[Eiweiß '[g/100g']]]/100&lt;&gt;0,Tabelle2[[#This Row],[Eiweiß '[g/100g']]]/100,"")</f>
        <v/>
      </c>
      <c r="O116" s="6"/>
      <c r="P116" s="6"/>
    </row>
    <row r="117" spans="5:16" x14ac:dyDescent="0.55000000000000004">
      <c r="E117" s="5"/>
      <c r="K117" s="12" t="str">
        <f>IFERROR(Tabelle2[[#This Row],[Preis '[€']]]/(Tabelle2[[#This Row],[Menge '[g']]]),"")</f>
        <v/>
      </c>
      <c r="L117" s="12" t="str">
        <f>IFERROR(Tabelle2[[#This Row],[Preis '[€']]]/(Tabelle2[[#This Row],[Menge '[g']]]*Tabelle2[[#This Row],[Eiweiß '[g/100g']]]/100),"")</f>
        <v/>
      </c>
      <c r="M117" s="2" t="str">
        <f>IF(Tabelle2[[#This Row],[Kalorien '[kcal/100g']]]/100&lt;&gt;0,Tabelle2[[#This Row],[Kalorien '[kcal/100g']]]/100,"")</f>
        <v/>
      </c>
      <c r="N117" s="1" t="str">
        <f>IF(Tabelle2[[#This Row],[Eiweiß '[g/100g']]]/100&lt;&gt;0,Tabelle2[[#This Row],[Eiweiß '[g/100g']]]/100,"")</f>
        <v/>
      </c>
      <c r="O117" s="6"/>
      <c r="P117" s="6"/>
    </row>
    <row r="118" spans="5:16" x14ac:dyDescent="0.55000000000000004">
      <c r="E118" s="5"/>
      <c r="K118" s="12" t="str">
        <f>IFERROR(Tabelle2[[#This Row],[Preis '[€']]]/(Tabelle2[[#This Row],[Menge '[g']]]),"")</f>
        <v/>
      </c>
      <c r="L118" s="12" t="str">
        <f>IFERROR(Tabelle2[[#This Row],[Preis '[€']]]/(Tabelle2[[#This Row],[Menge '[g']]]*Tabelle2[[#This Row],[Eiweiß '[g/100g']]]/100),"")</f>
        <v/>
      </c>
      <c r="M118" s="2" t="str">
        <f>IF(Tabelle2[[#This Row],[Kalorien '[kcal/100g']]]/100&lt;&gt;0,Tabelle2[[#This Row],[Kalorien '[kcal/100g']]]/100,"")</f>
        <v/>
      </c>
      <c r="N118" s="1" t="str">
        <f>IF(Tabelle2[[#This Row],[Eiweiß '[g/100g']]]/100&lt;&gt;0,Tabelle2[[#This Row],[Eiweiß '[g/100g']]]/100,"")</f>
        <v/>
      </c>
      <c r="O118" s="6"/>
      <c r="P118" s="6"/>
    </row>
    <row r="119" spans="5:16" x14ac:dyDescent="0.55000000000000004">
      <c r="E119" s="5"/>
      <c r="K119" s="12" t="str">
        <f>IFERROR(Tabelle2[[#This Row],[Preis '[€']]]/(Tabelle2[[#This Row],[Menge '[g']]]),"")</f>
        <v/>
      </c>
      <c r="L119" s="12" t="str">
        <f>IFERROR(Tabelle2[[#This Row],[Preis '[€']]]/(Tabelle2[[#This Row],[Menge '[g']]]*Tabelle2[[#This Row],[Eiweiß '[g/100g']]]/100),"")</f>
        <v/>
      </c>
      <c r="M119" s="2" t="str">
        <f>IF(Tabelle2[[#This Row],[Kalorien '[kcal/100g']]]/100&lt;&gt;0,Tabelle2[[#This Row],[Kalorien '[kcal/100g']]]/100,"")</f>
        <v/>
      </c>
      <c r="N119" s="1" t="str">
        <f>IF(Tabelle2[[#This Row],[Eiweiß '[g/100g']]]/100&lt;&gt;0,Tabelle2[[#This Row],[Eiweiß '[g/100g']]]/100,"")</f>
        <v/>
      </c>
      <c r="O119" s="6"/>
      <c r="P119" s="6"/>
    </row>
    <row r="120" spans="5:16" x14ac:dyDescent="0.55000000000000004">
      <c r="E120" s="5"/>
      <c r="K120" s="12" t="str">
        <f>IFERROR(Tabelle2[[#This Row],[Preis '[€']]]/(Tabelle2[[#This Row],[Menge '[g']]]),"")</f>
        <v/>
      </c>
      <c r="L120" s="12" t="str">
        <f>IFERROR(Tabelle2[[#This Row],[Preis '[€']]]/(Tabelle2[[#This Row],[Menge '[g']]]*Tabelle2[[#This Row],[Eiweiß '[g/100g']]]/100),"")</f>
        <v/>
      </c>
      <c r="M120" s="2" t="str">
        <f>IF(Tabelle2[[#This Row],[Kalorien '[kcal/100g']]]/100&lt;&gt;0,Tabelle2[[#This Row],[Kalorien '[kcal/100g']]]/100,"")</f>
        <v/>
      </c>
      <c r="N120" s="1" t="str">
        <f>IF(Tabelle2[[#This Row],[Eiweiß '[g/100g']]]/100&lt;&gt;0,Tabelle2[[#This Row],[Eiweiß '[g/100g']]]/100,"")</f>
        <v/>
      </c>
      <c r="O120" s="6"/>
      <c r="P120" s="6"/>
    </row>
    <row r="121" spans="5:16" x14ac:dyDescent="0.55000000000000004">
      <c r="E121" s="5"/>
      <c r="K121" s="12" t="str">
        <f>IFERROR(Tabelle2[[#This Row],[Preis '[€']]]/(Tabelle2[[#This Row],[Menge '[g']]]),"")</f>
        <v/>
      </c>
      <c r="L121" s="12" t="str">
        <f>IFERROR(Tabelle2[[#This Row],[Preis '[€']]]/(Tabelle2[[#This Row],[Menge '[g']]]*Tabelle2[[#This Row],[Eiweiß '[g/100g']]]/100),"")</f>
        <v/>
      </c>
      <c r="M121" s="2" t="str">
        <f>IF(Tabelle2[[#This Row],[Kalorien '[kcal/100g']]]/100&lt;&gt;0,Tabelle2[[#This Row],[Kalorien '[kcal/100g']]]/100,"")</f>
        <v/>
      </c>
      <c r="N121" s="1" t="str">
        <f>IF(Tabelle2[[#This Row],[Eiweiß '[g/100g']]]/100&lt;&gt;0,Tabelle2[[#This Row],[Eiweiß '[g/100g']]]/100,"")</f>
        <v/>
      </c>
      <c r="O121" s="6"/>
      <c r="P121" s="6"/>
    </row>
    <row r="122" spans="5:16" x14ac:dyDescent="0.55000000000000004">
      <c r="E122" s="5"/>
      <c r="K122" s="12" t="str">
        <f>IFERROR(Tabelle2[[#This Row],[Preis '[€']]]/(Tabelle2[[#This Row],[Menge '[g']]]),"")</f>
        <v/>
      </c>
      <c r="L122" s="12" t="str">
        <f>IFERROR(Tabelle2[[#This Row],[Preis '[€']]]/(Tabelle2[[#This Row],[Menge '[g']]]*Tabelle2[[#This Row],[Eiweiß '[g/100g']]]/100),"")</f>
        <v/>
      </c>
      <c r="M122" s="2" t="str">
        <f>IF(Tabelle2[[#This Row],[Kalorien '[kcal/100g']]]/100&lt;&gt;0,Tabelle2[[#This Row],[Kalorien '[kcal/100g']]]/100,"")</f>
        <v/>
      </c>
      <c r="N122" s="1" t="str">
        <f>IF(Tabelle2[[#This Row],[Eiweiß '[g/100g']]]/100&lt;&gt;0,Tabelle2[[#This Row],[Eiweiß '[g/100g']]]/100,"")</f>
        <v/>
      </c>
      <c r="O122" s="6"/>
      <c r="P122" s="6"/>
    </row>
    <row r="123" spans="5:16" x14ac:dyDescent="0.55000000000000004">
      <c r="E123" s="5"/>
      <c r="K123" s="12" t="str">
        <f>IFERROR(Tabelle2[[#This Row],[Preis '[€']]]/(Tabelle2[[#This Row],[Menge '[g']]]),"")</f>
        <v/>
      </c>
      <c r="L123" s="12" t="str">
        <f>IFERROR(Tabelle2[[#This Row],[Preis '[€']]]/(Tabelle2[[#This Row],[Menge '[g']]]*Tabelle2[[#This Row],[Eiweiß '[g/100g']]]/100),"")</f>
        <v/>
      </c>
      <c r="M123" s="2" t="str">
        <f>IF(Tabelle2[[#This Row],[Kalorien '[kcal/100g']]]/100&lt;&gt;0,Tabelle2[[#This Row],[Kalorien '[kcal/100g']]]/100,"")</f>
        <v/>
      </c>
      <c r="N123" s="1" t="str">
        <f>IF(Tabelle2[[#This Row],[Eiweiß '[g/100g']]]/100&lt;&gt;0,Tabelle2[[#This Row],[Eiweiß '[g/100g']]]/100,"")</f>
        <v/>
      </c>
      <c r="O123" s="6"/>
      <c r="P123" s="6"/>
    </row>
    <row r="124" spans="5:16" x14ac:dyDescent="0.55000000000000004">
      <c r="E124" s="5"/>
      <c r="K124" s="12" t="str">
        <f>IFERROR(Tabelle2[[#This Row],[Preis '[€']]]/(Tabelle2[[#This Row],[Menge '[g']]]),"")</f>
        <v/>
      </c>
      <c r="L124" s="12" t="str">
        <f>IFERROR(Tabelle2[[#This Row],[Preis '[€']]]/(Tabelle2[[#This Row],[Menge '[g']]]*Tabelle2[[#This Row],[Eiweiß '[g/100g']]]/100),"")</f>
        <v/>
      </c>
      <c r="M124" s="2" t="str">
        <f>IF(Tabelle2[[#This Row],[Kalorien '[kcal/100g']]]/100&lt;&gt;0,Tabelle2[[#This Row],[Kalorien '[kcal/100g']]]/100,"")</f>
        <v/>
      </c>
      <c r="N124" s="1" t="str">
        <f>IF(Tabelle2[[#This Row],[Eiweiß '[g/100g']]]/100&lt;&gt;0,Tabelle2[[#This Row],[Eiweiß '[g/100g']]]/100,"")</f>
        <v/>
      </c>
      <c r="O124" s="6"/>
      <c r="P124" s="6"/>
    </row>
    <row r="125" spans="5:16" x14ac:dyDescent="0.55000000000000004">
      <c r="E125" s="5"/>
      <c r="K125" s="12" t="str">
        <f>IFERROR(Tabelle2[[#This Row],[Preis '[€']]]/(Tabelle2[[#This Row],[Menge '[g']]]),"")</f>
        <v/>
      </c>
      <c r="L125" s="12" t="str">
        <f>IFERROR(Tabelle2[[#This Row],[Preis '[€']]]/(Tabelle2[[#This Row],[Menge '[g']]]*Tabelle2[[#This Row],[Eiweiß '[g/100g']]]/100),"")</f>
        <v/>
      </c>
      <c r="M125" s="2" t="str">
        <f>IF(Tabelle2[[#This Row],[Kalorien '[kcal/100g']]]/100&lt;&gt;0,Tabelle2[[#This Row],[Kalorien '[kcal/100g']]]/100,"")</f>
        <v/>
      </c>
      <c r="N125" s="1" t="str">
        <f>IF(Tabelle2[[#This Row],[Eiweiß '[g/100g']]]/100&lt;&gt;0,Tabelle2[[#This Row],[Eiweiß '[g/100g']]]/100,"")</f>
        <v/>
      </c>
      <c r="O125" s="6"/>
      <c r="P125" s="6"/>
    </row>
    <row r="126" spans="5:16" x14ac:dyDescent="0.55000000000000004">
      <c r="E126" s="5"/>
      <c r="K126" s="12" t="str">
        <f>IFERROR(Tabelle2[[#This Row],[Preis '[€']]]/(Tabelle2[[#This Row],[Menge '[g']]]),"")</f>
        <v/>
      </c>
      <c r="L126" s="12" t="str">
        <f>IFERROR(Tabelle2[[#This Row],[Preis '[€']]]/(Tabelle2[[#This Row],[Menge '[g']]]*Tabelle2[[#This Row],[Eiweiß '[g/100g']]]/100),"")</f>
        <v/>
      </c>
      <c r="M126" s="2" t="str">
        <f>IF(Tabelle2[[#This Row],[Kalorien '[kcal/100g']]]/100&lt;&gt;0,Tabelle2[[#This Row],[Kalorien '[kcal/100g']]]/100,"")</f>
        <v/>
      </c>
      <c r="N126" s="1" t="str">
        <f>IF(Tabelle2[[#This Row],[Eiweiß '[g/100g']]]/100&lt;&gt;0,Tabelle2[[#This Row],[Eiweiß '[g/100g']]]/100,"")</f>
        <v/>
      </c>
      <c r="O126" s="6"/>
      <c r="P126" s="6"/>
    </row>
    <row r="127" spans="5:16" x14ac:dyDescent="0.55000000000000004">
      <c r="E127" s="5"/>
      <c r="K127" s="12" t="str">
        <f>IFERROR(Tabelle2[[#This Row],[Preis '[€']]]/(Tabelle2[[#This Row],[Menge '[g']]]),"")</f>
        <v/>
      </c>
      <c r="L127" s="12" t="str">
        <f>IFERROR(Tabelle2[[#This Row],[Preis '[€']]]/(Tabelle2[[#This Row],[Menge '[g']]]*Tabelle2[[#This Row],[Eiweiß '[g/100g']]]/100),"")</f>
        <v/>
      </c>
      <c r="M127" s="2" t="str">
        <f>IF(Tabelle2[[#This Row],[Kalorien '[kcal/100g']]]/100&lt;&gt;0,Tabelle2[[#This Row],[Kalorien '[kcal/100g']]]/100,"")</f>
        <v/>
      </c>
      <c r="N127" s="1" t="str">
        <f>IF(Tabelle2[[#This Row],[Eiweiß '[g/100g']]]/100&lt;&gt;0,Tabelle2[[#This Row],[Eiweiß '[g/100g']]]/100,"")</f>
        <v/>
      </c>
      <c r="O127" s="6"/>
      <c r="P127" s="6"/>
    </row>
    <row r="128" spans="5:16" x14ac:dyDescent="0.55000000000000004">
      <c r="E128" s="5"/>
      <c r="K128" s="12" t="str">
        <f>IFERROR(Tabelle2[[#This Row],[Preis '[€']]]/(Tabelle2[[#This Row],[Menge '[g']]]),"")</f>
        <v/>
      </c>
      <c r="L128" s="12" t="str">
        <f>IFERROR(Tabelle2[[#This Row],[Preis '[€']]]/(Tabelle2[[#This Row],[Menge '[g']]]*Tabelle2[[#This Row],[Eiweiß '[g/100g']]]/100),"")</f>
        <v/>
      </c>
      <c r="M128" s="2" t="str">
        <f>IF(Tabelle2[[#This Row],[Kalorien '[kcal/100g']]]/100&lt;&gt;0,Tabelle2[[#This Row],[Kalorien '[kcal/100g']]]/100,"")</f>
        <v/>
      </c>
      <c r="N128" s="1" t="str">
        <f>IF(Tabelle2[[#This Row],[Eiweiß '[g/100g']]]/100&lt;&gt;0,Tabelle2[[#This Row],[Eiweiß '[g/100g']]]/100,"")</f>
        <v/>
      </c>
      <c r="O128" s="6"/>
      <c r="P128" s="6"/>
    </row>
    <row r="129" spans="5:16" x14ac:dyDescent="0.55000000000000004">
      <c r="E129" s="5"/>
      <c r="K129" s="12" t="str">
        <f>IFERROR(Tabelle2[[#This Row],[Preis '[€']]]/(Tabelle2[[#This Row],[Menge '[g']]]),"")</f>
        <v/>
      </c>
      <c r="L129" s="12" t="str">
        <f>IFERROR(Tabelle2[[#This Row],[Preis '[€']]]/(Tabelle2[[#This Row],[Menge '[g']]]*Tabelle2[[#This Row],[Eiweiß '[g/100g']]]/100),"")</f>
        <v/>
      </c>
      <c r="M129" s="2" t="str">
        <f>IF(Tabelle2[[#This Row],[Kalorien '[kcal/100g']]]/100&lt;&gt;0,Tabelle2[[#This Row],[Kalorien '[kcal/100g']]]/100,"")</f>
        <v/>
      </c>
      <c r="N129" s="1" t="str">
        <f>IF(Tabelle2[[#This Row],[Eiweiß '[g/100g']]]/100&lt;&gt;0,Tabelle2[[#This Row],[Eiweiß '[g/100g']]]/100,"")</f>
        <v/>
      </c>
      <c r="O129" s="6"/>
      <c r="P129" s="6"/>
    </row>
    <row r="130" spans="5:16" x14ac:dyDescent="0.55000000000000004">
      <c r="E130" s="5"/>
      <c r="K130" s="12" t="str">
        <f>IFERROR(Tabelle2[[#This Row],[Preis '[€']]]/(Tabelle2[[#This Row],[Menge '[g']]]),"")</f>
        <v/>
      </c>
      <c r="L130" s="12" t="str">
        <f>IFERROR(Tabelle2[[#This Row],[Preis '[€']]]/(Tabelle2[[#This Row],[Menge '[g']]]*Tabelle2[[#This Row],[Eiweiß '[g/100g']]]/100),"")</f>
        <v/>
      </c>
      <c r="M130" s="2" t="str">
        <f>IF(Tabelle2[[#This Row],[Kalorien '[kcal/100g']]]/100&lt;&gt;0,Tabelle2[[#This Row],[Kalorien '[kcal/100g']]]/100,"")</f>
        <v/>
      </c>
      <c r="N130" s="1" t="str">
        <f>IF(Tabelle2[[#This Row],[Eiweiß '[g/100g']]]/100&lt;&gt;0,Tabelle2[[#This Row],[Eiweiß '[g/100g']]]/100,"")</f>
        <v/>
      </c>
      <c r="O130" s="6"/>
      <c r="P130" s="6"/>
    </row>
    <row r="131" spans="5:16" x14ac:dyDescent="0.55000000000000004">
      <c r="E131" s="5"/>
      <c r="K131" s="12" t="str">
        <f>IFERROR(Tabelle2[[#This Row],[Preis '[€']]]/(Tabelle2[[#This Row],[Menge '[g']]]),"")</f>
        <v/>
      </c>
      <c r="L131" s="12" t="str">
        <f>IFERROR(Tabelle2[[#This Row],[Preis '[€']]]/(Tabelle2[[#This Row],[Menge '[g']]]*Tabelle2[[#This Row],[Eiweiß '[g/100g']]]/100),"")</f>
        <v/>
      </c>
      <c r="M131" s="2" t="str">
        <f>IF(Tabelle2[[#This Row],[Kalorien '[kcal/100g']]]/100&lt;&gt;0,Tabelle2[[#This Row],[Kalorien '[kcal/100g']]]/100,"")</f>
        <v/>
      </c>
      <c r="N131" s="1" t="str">
        <f>IF(Tabelle2[[#This Row],[Eiweiß '[g/100g']]]/100&lt;&gt;0,Tabelle2[[#This Row],[Eiweiß '[g/100g']]]/100,"")</f>
        <v/>
      </c>
      <c r="O131" s="6"/>
      <c r="P131" s="6"/>
    </row>
    <row r="132" spans="5:16" x14ac:dyDescent="0.55000000000000004">
      <c r="E132" s="5"/>
      <c r="K132" s="12" t="str">
        <f>IFERROR(Tabelle2[[#This Row],[Preis '[€']]]/(Tabelle2[[#This Row],[Menge '[g']]]),"")</f>
        <v/>
      </c>
      <c r="L132" s="12" t="str">
        <f>IFERROR(Tabelle2[[#This Row],[Preis '[€']]]/(Tabelle2[[#This Row],[Menge '[g']]]*Tabelle2[[#This Row],[Eiweiß '[g/100g']]]/100),"")</f>
        <v/>
      </c>
      <c r="M132" s="2" t="str">
        <f>IF(Tabelle2[[#This Row],[Kalorien '[kcal/100g']]]/100&lt;&gt;0,Tabelle2[[#This Row],[Kalorien '[kcal/100g']]]/100,"")</f>
        <v/>
      </c>
      <c r="N132" s="1" t="str">
        <f>IF(Tabelle2[[#This Row],[Eiweiß '[g/100g']]]/100&lt;&gt;0,Tabelle2[[#This Row],[Eiweiß '[g/100g']]]/100,"")</f>
        <v/>
      </c>
      <c r="O132" s="6"/>
      <c r="P132" s="6"/>
    </row>
    <row r="133" spans="5:16" x14ac:dyDescent="0.55000000000000004">
      <c r="E133" s="5"/>
      <c r="K133" s="12" t="str">
        <f>IFERROR(Tabelle2[[#This Row],[Preis '[€']]]/(Tabelle2[[#This Row],[Menge '[g']]]),"")</f>
        <v/>
      </c>
      <c r="L133" s="12" t="str">
        <f>IFERROR(Tabelle2[[#This Row],[Preis '[€']]]/(Tabelle2[[#This Row],[Menge '[g']]]*Tabelle2[[#This Row],[Eiweiß '[g/100g']]]/100),"")</f>
        <v/>
      </c>
      <c r="M133" s="2" t="str">
        <f>IF(Tabelle2[[#This Row],[Kalorien '[kcal/100g']]]/100&lt;&gt;0,Tabelle2[[#This Row],[Kalorien '[kcal/100g']]]/100,"")</f>
        <v/>
      </c>
      <c r="N133" s="1" t="str">
        <f>IF(Tabelle2[[#This Row],[Eiweiß '[g/100g']]]/100&lt;&gt;0,Tabelle2[[#This Row],[Eiweiß '[g/100g']]]/100,"")</f>
        <v/>
      </c>
      <c r="O133" s="6"/>
      <c r="P133" s="6"/>
    </row>
    <row r="134" spans="5:16" x14ac:dyDescent="0.55000000000000004">
      <c r="E134" s="5"/>
      <c r="K134" s="12" t="str">
        <f>IFERROR(Tabelle2[[#This Row],[Preis '[€']]]/(Tabelle2[[#This Row],[Menge '[g']]]),"")</f>
        <v/>
      </c>
      <c r="L134" s="12" t="str">
        <f>IFERROR(Tabelle2[[#This Row],[Preis '[€']]]/(Tabelle2[[#This Row],[Menge '[g']]]*Tabelle2[[#This Row],[Eiweiß '[g/100g']]]/100),"")</f>
        <v/>
      </c>
      <c r="M134" s="2" t="str">
        <f>IF(Tabelle2[[#This Row],[Kalorien '[kcal/100g']]]/100&lt;&gt;0,Tabelle2[[#This Row],[Kalorien '[kcal/100g']]]/100,"")</f>
        <v/>
      </c>
      <c r="N134" s="1" t="str">
        <f>IF(Tabelle2[[#This Row],[Eiweiß '[g/100g']]]/100&lt;&gt;0,Tabelle2[[#This Row],[Eiweiß '[g/100g']]]/100,"")</f>
        <v/>
      </c>
      <c r="O134" s="6"/>
      <c r="P134" s="6"/>
    </row>
    <row r="135" spans="5:16" x14ac:dyDescent="0.55000000000000004">
      <c r="E135" s="5"/>
      <c r="K135" s="12" t="str">
        <f>IFERROR(Tabelle2[[#This Row],[Preis '[€']]]/(Tabelle2[[#This Row],[Menge '[g']]]),"")</f>
        <v/>
      </c>
      <c r="L135" s="12" t="str">
        <f>IFERROR(Tabelle2[[#This Row],[Preis '[€']]]/(Tabelle2[[#This Row],[Menge '[g']]]*Tabelle2[[#This Row],[Eiweiß '[g/100g']]]/100),"")</f>
        <v/>
      </c>
      <c r="M135" s="2" t="str">
        <f>IF(Tabelle2[[#This Row],[Kalorien '[kcal/100g']]]/100&lt;&gt;0,Tabelle2[[#This Row],[Kalorien '[kcal/100g']]]/100,"")</f>
        <v/>
      </c>
      <c r="N135" s="1" t="str">
        <f>IF(Tabelle2[[#This Row],[Eiweiß '[g/100g']]]/100&lt;&gt;0,Tabelle2[[#This Row],[Eiweiß '[g/100g']]]/100,"")</f>
        <v/>
      </c>
      <c r="O135" s="6"/>
      <c r="P135" s="6"/>
    </row>
    <row r="136" spans="5:16" x14ac:dyDescent="0.55000000000000004">
      <c r="E136" s="5"/>
      <c r="K136" s="12" t="str">
        <f>IFERROR(Tabelle2[[#This Row],[Preis '[€']]]/(Tabelle2[[#This Row],[Menge '[g']]]),"")</f>
        <v/>
      </c>
      <c r="L136" s="12" t="str">
        <f>IFERROR(Tabelle2[[#This Row],[Preis '[€']]]/(Tabelle2[[#This Row],[Menge '[g']]]*Tabelle2[[#This Row],[Eiweiß '[g/100g']]]/100),"")</f>
        <v/>
      </c>
      <c r="M136" s="2" t="str">
        <f>IF(Tabelle2[[#This Row],[Kalorien '[kcal/100g']]]/100&lt;&gt;0,Tabelle2[[#This Row],[Kalorien '[kcal/100g']]]/100,"")</f>
        <v/>
      </c>
      <c r="N136" s="1" t="str">
        <f>IF(Tabelle2[[#This Row],[Eiweiß '[g/100g']]]/100&lt;&gt;0,Tabelle2[[#This Row],[Eiweiß '[g/100g']]]/100,"")</f>
        <v/>
      </c>
      <c r="O136" s="6"/>
      <c r="P136" s="6"/>
    </row>
    <row r="137" spans="5:16" x14ac:dyDescent="0.55000000000000004">
      <c r="E137" s="5"/>
      <c r="K137" s="12" t="str">
        <f>IFERROR(Tabelle2[[#This Row],[Preis '[€']]]/(Tabelle2[[#This Row],[Menge '[g']]]),"")</f>
        <v/>
      </c>
      <c r="L137" s="12" t="str">
        <f>IFERROR(Tabelle2[[#This Row],[Preis '[€']]]/(Tabelle2[[#This Row],[Menge '[g']]]*Tabelle2[[#This Row],[Eiweiß '[g/100g']]]/100),"")</f>
        <v/>
      </c>
      <c r="M137" s="2" t="str">
        <f>IF(Tabelle2[[#This Row],[Kalorien '[kcal/100g']]]/100&lt;&gt;0,Tabelle2[[#This Row],[Kalorien '[kcal/100g']]]/100,"")</f>
        <v/>
      </c>
      <c r="N137" s="1" t="str">
        <f>IF(Tabelle2[[#This Row],[Eiweiß '[g/100g']]]/100&lt;&gt;0,Tabelle2[[#This Row],[Eiweiß '[g/100g']]]/100,"")</f>
        <v/>
      </c>
      <c r="O137" s="6"/>
      <c r="P137" s="6"/>
    </row>
    <row r="138" spans="5:16" x14ac:dyDescent="0.55000000000000004">
      <c r="E138" s="5"/>
      <c r="K138" s="12" t="str">
        <f>IFERROR(Tabelle2[[#This Row],[Preis '[€']]]/(Tabelle2[[#This Row],[Menge '[g']]]),"")</f>
        <v/>
      </c>
      <c r="L138" s="12" t="str">
        <f>IFERROR(Tabelle2[[#This Row],[Preis '[€']]]/(Tabelle2[[#This Row],[Menge '[g']]]*Tabelle2[[#This Row],[Eiweiß '[g/100g']]]/100),"")</f>
        <v/>
      </c>
      <c r="M138" s="2" t="str">
        <f>IF(Tabelle2[[#This Row],[Kalorien '[kcal/100g']]]/100&lt;&gt;0,Tabelle2[[#This Row],[Kalorien '[kcal/100g']]]/100,"")</f>
        <v/>
      </c>
      <c r="N138" s="1" t="str">
        <f>IF(Tabelle2[[#This Row],[Eiweiß '[g/100g']]]/100&lt;&gt;0,Tabelle2[[#This Row],[Eiweiß '[g/100g']]]/100,"")</f>
        <v/>
      </c>
      <c r="O138" s="6"/>
      <c r="P138" s="6"/>
    </row>
    <row r="139" spans="5:16" x14ac:dyDescent="0.55000000000000004">
      <c r="E139" s="5"/>
      <c r="K139" s="12" t="str">
        <f>IFERROR(Tabelle2[[#This Row],[Preis '[€']]]/(Tabelle2[[#This Row],[Menge '[g']]]),"")</f>
        <v/>
      </c>
      <c r="L139" s="12" t="str">
        <f>IFERROR(Tabelle2[[#This Row],[Preis '[€']]]/(Tabelle2[[#This Row],[Menge '[g']]]*Tabelle2[[#This Row],[Eiweiß '[g/100g']]]/100),"")</f>
        <v/>
      </c>
      <c r="M139" s="2" t="str">
        <f>IF(Tabelle2[[#This Row],[Kalorien '[kcal/100g']]]/100&lt;&gt;0,Tabelle2[[#This Row],[Kalorien '[kcal/100g']]]/100,"")</f>
        <v/>
      </c>
      <c r="N139" s="1" t="str">
        <f>IF(Tabelle2[[#This Row],[Eiweiß '[g/100g']]]/100&lt;&gt;0,Tabelle2[[#This Row],[Eiweiß '[g/100g']]]/100,"")</f>
        <v/>
      </c>
      <c r="O139" s="6"/>
      <c r="P139" s="6"/>
    </row>
    <row r="140" spans="5:16" x14ac:dyDescent="0.55000000000000004">
      <c r="E140" s="5"/>
      <c r="K140" s="12" t="str">
        <f>IFERROR(Tabelle2[[#This Row],[Preis '[€']]]/(Tabelle2[[#This Row],[Menge '[g']]]),"")</f>
        <v/>
      </c>
      <c r="L140" s="12" t="str">
        <f>IFERROR(Tabelle2[[#This Row],[Preis '[€']]]/(Tabelle2[[#This Row],[Menge '[g']]]*Tabelle2[[#This Row],[Eiweiß '[g/100g']]]/100),"")</f>
        <v/>
      </c>
      <c r="M140" s="2" t="str">
        <f>IF(Tabelle2[[#This Row],[Kalorien '[kcal/100g']]]/100&lt;&gt;0,Tabelle2[[#This Row],[Kalorien '[kcal/100g']]]/100,"")</f>
        <v/>
      </c>
      <c r="N140" s="1" t="str">
        <f>IF(Tabelle2[[#This Row],[Eiweiß '[g/100g']]]/100&lt;&gt;0,Tabelle2[[#This Row],[Eiweiß '[g/100g']]]/100,"")</f>
        <v/>
      </c>
      <c r="O140" s="6"/>
      <c r="P140" s="6"/>
    </row>
    <row r="141" spans="5:16" x14ac:dyDescent="0.55000000000000004">
      <c r="E141" s="5"/>
      <c r="K141" s="12" t="str">
        <f>IFERROR(Tabelle2[[#This Row],[Preis '[€']]]/(Tabelle2[[#This Row],[Menge '[g']]]),"")</f>
        <v/>
      </c>
      <c r="L141" s="12" t="str">
        <f>IFERROR(Tabelle2[[#This Row],[Preis '[€']]]/(Tabelle2[[#This Row],[Menge '[g']]]*Tabelle2[[#This Row],[Eiweiß '[g/100g']]]/100),"")</f>
        <v/>
      </c>
      <c r="M141" s="2" t="str">
        <f>IF(Tabelle2[[#This Row],[Kalorien '[kcal/100g']]]/100&lt;&gt;0,Tabelle2[[#This Row],[Kalorien '[kcal/100g']]]/100,"")</f>
        <v/>
      </c>
      <c r="N141" s="1" t="str">
        <f>IF(Tabelle2[[#This Row],[Eiweiß '[g/100g']]]/100&lt;&gt;0,Tabelle2[[#This Row],[Eiweiß '[g/100g']]]/100,"")</f>
        <v/>
      </c>
      <c r="O141" s="6"/>
      <c r="P141" s="6"/>
    </row>
    <row r="142" spans="5:16" x14ac:dyDescent="0.55000000000000004">
      <c r="E142" s="5"/>
      <c r="K142" s="12" t="str">
        <f>IFERROR(Tabelle2[[#This Row],[Preis '[€']]]/(Tabelle2[[#This Row],[Menge '[g']]]),"")</f>
        <v/>
      </c>
      <c r="L142" s="12" t="str">
        <f>IFERROR(Tabelle2[[#This Row],[Preis '[€']]]/(Tabelle2[[#This Row],[Menge '[g']]]*Tabelle2[[#This Row],[Eiweiß '[g/100g']]]/100),"")</f>
        <v/>
      </c>
      <c r="M142" s="2" t="str">
        <f>IF(Tabelle2[[#This Row],[Kalorien '[kcal/100g']]]/100&lt;&gt;0,Tabelle2[[#This Row],[Kalorien '[kcal/100g']]]/100,"")</f>
        <v/>
      </c>
      <c r="N142" s="1" t="str">
        <f>IF(Tabelle2[[#This Row],[Eiweiß '[g/100g']]]/100&lt;&gt;0,Tabelle2[[#This Row],[Eiweiß '[g/100g']]]/100,"")</f>
        <v/>
      </c>
      <c r="O142" s="6"/>
      <c r="P142" s="6"/>
    </row>
    <row r="143" spans="5:16" x14ac:dyDescent="0.55000000000000004">
      <c r="E143" s="5"/>
      <c r="K143" s="12" t="str">
        <f>IFERROR(Tabelle2[[#This Row],[Preis '[€']]]/(Tabelle2[[#This Row],[Menge '[g']]]),"")</f>
        <v/>
      </c>
      <c r="L143" s="12" t="str">
        <f>IFERROR(Tabelle2[[#This Row],[Preis '[€']]]/(Tabelle2[[#This Row],[Menge '[g']]]*Tabelle2[[#This Row],[Eiweiß '[g/100g']]]/100),"")</f>
        <v/>
      </c>
      <c r="M143" s="2" t="str">
        <f>IF(Tabelle2[[#This Row],[Kalorien '[kcal/100g']]]/100&lt;&gt;0,Tabelle2[[#This Row],[Kalorien '[kcal/100g']]]/100,"")</f>
        <v/>
      </c>
      <c r="N143" s="1" t="str">
        <f>IF(Tabelle2[[#This Row],[Eiweiß '[g/100g']]]/100&lt;&gt;0,Tabelle2[[#This Row],[Eiweiß '[g/100g']]]/100,"")</f>
        <v/>
      </c>
      <c r="O143" s="6"/>
      <c r="P143" s="6"/>
    </row>
    <row r="144" spans="5:16" x14ac:dyDescent="0.55000000000000004">
      <c r="E144" s="5"/>
      <c r="K144" s="12" t="str">
        <f>IFERROR(Tabelle2[[#This Row],[Preis '[€']]]/(Tabelle2[[#This Row],[Menge '[g']]]),"")</f>
        <v/>
      </c>
      <c r="L144" s="12" t="str">
        <f>IFERROR(Tabelle2[[#This Row],[Preis '[€']]]/(Tabelle2[[#This Row],[Menge '[g']]]*Tabelle2[[#This Row],[Eiweiß '[g/100g']]]/100),"")</f>
        <v/>
      </c>
      <c r="M144" s="2" t="str">
        <f>IF(Tabelle2[[#This Row],[Kalorien '[kcal/100g']]]/100&lt;&gt;0,Tabelle2[[#This Row],[Kalorien '[kcal/100g']]]/100,"")</f>
        <v/>
      </c>
      <c r="N144" s="1" t="str">
        <f>IF(Tabelle2[[#This Row],[Eiweiß '[g/100g']]]/100&lt;&gt;0,Tabelle2[[#This Row],[Eiweiß '[g/100g']]]/100,"")</f>
        <v/>
      </c>
      <c r="O144" s="6"/>
      <c r="P144" s="6"/>
    </row>
    <row r="145" spans="5:16" x14ac:dyDescent="0.55000000000000004">
      <c r="E145" s="5"/>
      <c r="K145" s="12" t="str">
        <f>IFERROR(Tabelle2[[#This Row],[Preis '[€']]]/(Tabelle2[[#This Row],[Menge '[g']]]),"")</f>
        <v/>
      </c>
      <c r="L145" s="12" t="str">
        <f>IFERROR(Tabelle2[[#This Row],[Preis '[€']]]/(Tabelle2[[#This Row],[Menge '[g']]]*Tabelle2[[#This Row],[Eiweiß '[g/100g']]]/100),"")</f>
        <v/>
      </c>
      <c r="M145" s="2" t="str">
        <f>IF(Tabelle2[[#This Row],[Kalorien '[kcal/100g']]]/100&lt;&gt;0,Tabelle2[[#This Row],[Kalorien '[kcal/100g']]]/100,"")</f>
        <v/>
      </c>
      <c r="N145" s="1" t="str">
        <f>IF(Tabelle2[[#This Row],[Eiweiß '[g/100g']]]/100&lt;&gt;0,Tabelle2[[#This Row],[Eiweiß '[g/100g']]]/100,"")</f>
        <v/>
      </c>
      <c r="O145" s="6"/>
      <c r="P145" s="6"/>
    </row>
    <row r="146" spans="5:16" x14ac:dyDescent="0.55000000000000004">
      <c r="E146" s="5"/>
      <c r="K146" s="12" t="str">
        <f>IFERROR(Tabelle2[[#This Row],[Preis '[€']]]/(Tabelle2[[#This Row],[Menge '[g']]]),"")</f>
        <v/>
      </c>
      <c r="L146" s="12" t="str">
        <f>IFERROR(Tabelle2[[#This Row],[Preis '[€']]]/(Tabelle2[[#This Row],[Menge '[g']]]*Tabelle2[[#This Row],[Eiweiß '[g/100g']]]/100),"")</f>
        <v/>
      </c>
      <c r="M146" s="2" t="str">
        <f>IF(Tabelle2[[#This Row],[Kalorien '[kcal/100g']]]/100&lt;&gt;0,Tabelle2[[#This Row],[Kalorien '[kcal/100g']]]/100,"")</f>
        <v/>
      </c>
      <c r="N146" s="1" t="str">
        <f>IF(Tabelle2[[#This Row],[Eiweiß '[g/100g']]]/100&lt;&gt;0,Tabelle2[[#This Row],[Eiweiß '[g/100g']]]/100,"")</f>
        <v/>
      </c>
      <c r="O146" s="6"/>
      <c r="P146" s="6"/>
    </row>
    <row r="147" spans="5:16" x14ac:dyDescent="0.55000000000000004">
      <c r="E147" s="5"/>
      <c r="K147" s="12" t="str">
        <f>IFERROR(Tabelle2[[#This Row],[Preis '[€']]]/(Tabelle2[[#This Row],[Menge '[g']]]),"")</f>
        <v/>
      </c>
      <c r="L147" s="12" t="str">
        <f>IFERROR(Tabelle2[[#This Row],[Preis '[€']]]/(Tabelle2[[#This Row],[Menge '[g']]]*Tabelle2[[#This Row],[Eiweiß '[g/100g']]]/100),"")</f>
        <v/>
      </c>
      <c r="M147" s="2" t="str">
        <f>IF(Tabelle2[[#This Row],[Kalorien '[kcal/100g']]]/100&lt;&gt;0,Tabelle2[[#This Row],[Kalorien '[kcal/100g']]]/100,"")</f>
        <v/>
      </c>
      <c r="N147" s="1" t="str">
        <f>IF(Tabelle2[[#This Row],[Eiweiß '[g/100g']]]/100&lt;&gt;0,Tabelle2[[#This Row],[Eiweiß '[g/100g']]]/100,"")</f>
        <v/>
      </c>
      <c r="O147" s="6"/>
      <c r="P147" s="6"/>
    </row>
    <row r="148" spans="5:16" x14ac:dyDescent="0.55000000000000004">
      <c r="E148" s="5"/>
      <c r="K148" s="12" t="str">
        <f>IFERROR(Tabelle2[[#This Row],[Preis '[€']]]/(Tabelle2[[#This Row],[Menge '[g']]]),"")</f>
        <v/>
      </c>
      <c r="L148" s="12" t="str">
        <f>IFERROR(Tabelle2[[#This Row],[Preis '[€']]]/(Tabelle2[[#This Row],[Menge '[g']]]*Tabelle2[[#This Row],[Eiweiß '[g/100g']]]/100),"")</f>
        <v/>
      </c>
      <c r="M148" s="2" t="str">
        <f>IF(Tabelle2[[#This Row],[Kalorien '[kcal/100g']]]/100&lt;&gt;0,Tabelle2[[#This Row],[Kalorien '[kcal/100g']]]/100,"")</f>
        <v/>
      </c>
      <c r="N148" s="1" t="str">
        <f>IF(Tabelle2[[#This Row],[Eiweiß '[g/100g']]]/100&lt;&gt;0,Tabelle2[[#This Row],[Eiweiß '[g/100g']]]/100,"")</f>
        <v/>
      </c>
      <c r="O148" s="6"/>
      <c r="P148" s="6"/>
    </row>
    <row r="149" spans="5:16" x14ac:dyDescent="0.55000000000000004">
      <c r="E149" s="5"/>
      <c r="K149" s="12" t="str">
        <f>IFERROR(Tabelle2[[#This Row],[Preis '[€']]]/(Tabelle2[[#This Row],[Menge '[g']]]),"")</f>
        <v/>
      </c>
      <c r="L149" s="12" t="str">
        <f>IFERROR(Tabelle2[[#This Row],[Preis '[€']]]/(Tabelle2[[#This Row],[Menge '[g']]]*Tabelle2[[#This Row],[Eiweiß '[g/100g']]]/100),"")</f>
        <v/>
      </c>
      <c r="M149" s="2" t="str">
        <f>IF(Tabelle2[[#This Row],[Kalorien '[kcal/100g']]]/100&lt;&gt;0,Tabelle2[[#This Row],[Kalorien '[kcal/100g']]]/100,"")</f>
        <v/>
      </c>
      <c r="N149" s="1" t="str">
        <f>IF(Tabelle2[[#This Row],[Eiweiß '[g/100g']]]/100&lt;&gt;0,Tabelle2[[#This Row],[Eiweiß '[g/100g']]]/100,"")</f>
        <v/>
      </c>
      <c r="O149" s="6"/>
      <c r="P149" s="6"/>
    </row>
    <row r="150" spans="5:16" x14ac:dyDescent="0.55000000000000004">
      <c r="E150" s="5"/>
      <c r="K150" s="12" t="str">
        <f>IFERROR(Tabelle2[[#This Row],[Preis '[€']]]/(Tabelle2[[#This Row],[Menge '[g']]]),"")</f>
        <v/>
      </c>
      <c r="L150" s="12" t="str">
        <f>IFERROR(Tabelle2[[#This Row],[Preis '[€']]]/(Tabelle2[[#This Row],[Menge '[g']]]*Tabelle2[[#This Row],[Eiweiß '[g/100g']]]/100),"")</f>
        <v/>
      </c>
      <c r="M150" s="2" t="str">
        <f>IF(Tabelle2[[#This Row],[Kalorien '[kcal/100g']]]/100&lt;&gt;0,Tabelle2[[#This Row],[Kalorien '[kcal/100g']]]/100,"")</f>
        <v/>
      </c>
      <c r="N150" s="1" t="str">
        <f>IF(Tabelle2[[#This Row],[Eiweiß '[g/100g']]]/100&lt;&gt;0,Tabelle2[[#This Row],[Eiweiß '[g/100g']]]/100,"")</f>
        <v/>
      </c>
      <c r="O150" s="6"/>
      <c r="P150" s="6"/>
    </row>
    <row r="151" spans="5:16" x14ac:dyDescent="0.55000000000000004">
      <c r="E151" s="5"/>
      <c r="K151" s="12" t="str">
        <f>IFERROR(Tabelle2[[#This Row],[Preis '[€']]]/(Tabelle2[[#This Row],[Menge '[g']]]),"")</f>
        <v/>
      </c>
      <c r="L151" s="12" t="str">
        <f>IFERROR(Tabelle2[[#This Row],[Preis '[€']]]/(Tabelle2[[#This Row],[Menge '[g']]]*Tabelle2[[#This Row],[Eiweiß '[g/100g']]]/100),"")</f>
        <v/>
      </c>
      <c r="M151" s="2" t="str">
        <f>IF(Tabelle2[[#This Row],[Kalorien '[kcal/100g']]]/100&lt;&gt;0,Tabelle2[[#This Row],[Kalorien '[kcal/100g']]]/100,"")</f>
        <v/>
      </c>
      <c r="N151" s="1" t="str">
        <f>IF(Tabelle2[[#This Row],[Eiweiß '[g/100g']]]/100&lt;&gt;0,Tabelle2[[#This Row],[Eiweiß '[g/100g']]]/100,"")</f>
        <v/>
      </c>
      <c r="O151" s="6"/>
      <c r="P151" s="6"/>
    </row>
    <row r="152" spans="5:16" x14ac:dyDescent="0.55000000000000004">
      <c r="E152" s="5"/>
      <c r="K152" s="12" t="str">
        <f>IFERROR(Tabelle2[[#This Row],[Preis '[€']]]/(Tabelle2[[#This Row],[Menge '[g']]]),"")</f>
        <v/>
      </c>
      <c r="L152" s="12" t="str">
        <f>IFERROR(Tabelle2[[#This Row],[Preis '[€']]]/(Tabelle2[[#This Row],[Menge '[g']]]*Tabelle2[[#This Row],[Eiweiß '[g/100g']]]/100),"")</f>
        <v/>
      </c>
      <c r="M152" s="2" t="str">
        <f>IF(Tabelle2[[#This Row],[Kalorien '[kcal/100g']]]/100&lt;&gt;0,Tabelle2[[#This Row],[Kalorien '[kcal/100g']]]/100,"")</f>
        <v/>
      </c>
      <c r="N152" s="1" t="str">
        <f>IF(Tabelle2[[#This Row],[Eiweiß '[g/100g']]]/100&lt;&gt;0,Tabelle2[[#This Row],[Eiweiß '[g/100g']]]/100,"")</f>
        <v/>
      </c>
      <c r="O152" s="6"/>
      <c r="P152" s="6"/>
    </row>
    <row r="153" spans="5:16" x14ac:dyDescent="0.55000000000000004">
      <c r="E153" s="5"/>
      <c r="K153" s="12" t="str">
        <f>IFERROR(Tabelle2[[#This Row],[Preis '[€']]]/(Tabelle2[[#This Row],[Menge '[g']]]),"")</f>
        <v/>
      </c>
      <c r="L153" s="12" t="str">
        <f>IFERROR(Tabelle2[[#This Row],[Preis '[€']]]/(Tabelle2[[#This Row],[Menge '[g']]]*Tabelle2[[#This Row],[Eiweiß '[g/100g']]]/100),"")</f>
        <v/>
      </c>
      <c r="M153" s="2" t="str">
        <f>IF(Tabelle2[[#This Row],[Kalorien '[kcal/100g']]]/100&lt;&gt;0,Tabelle2[[#This Row],[Kalorien '[kcal/100g']]]/100,"")</f>
        <v/>
      </c>
      <c r="N153" s="1" t="str">
        <f>IF(Tabelle2[[#This Row],[Eiweiß '[g/100g']]]/100&lt;&gt;0,Tabelle2[[#This Row],[Eiweiß '[g/100g']]]/100,"")</f>
        <v/>
      </c>
      <c r="O153" s="6"/>
      <c r="P153" s="6"/>
    </row>
    <row r="154" spans="5:16" x14ac:dyDescent="0.55000000000000004">
      <c r="E154" s="5"/>
      <c r="K154" s="12" t="str">
        <f>IFERROR(Tabelle2[[#This Row],[Preis '[€']]]/(Tabelle2[[#This Row],[Menge '[g']]]),"")</f>
        <v/>
      </c>
      <c r="L154" s="12" t="str">
        <f>IFERROR(Tabelle2[[#This Row],[Preis '[€']]]/(Tabelle2[[#This Row],[Menge '[g']]]*Tabelle2[[#This Row],[Eiweiß '[g/100g']]]/100),"")</f>
        <v/>
      </c>
      <c r="M154" s="2" t="str">
        <f>IF(Tabelle2[[#This Row],[Kalorien '[kcal/100g']]]/100&lt;&gt;0,Tabelle2[[#This Row],[Kalorien '[kcal/100g']]]/100,"")</f>
        <v/>
      </c>
      <c r="N154" s="1" t="str">
        <f>IF(Tabelle2[[#This Row],[Eiweiß '[g/100g']]]/100&lt;&gt;0,Tabelle2[[#This Row],[Eiweiß '[g/100g']]]/100,"")</f>
        <v/>
      </c>
      <c r="O154" s="6"/>
      <c r="P154" s="6"/>
    </row>
    <row r="155" spans="5:16" x14ac:dyDescent="0.55000000000000004">
      <c r="E155" s="5"/>
      <c r="K155" s="12" t="str">
        <f>IFERROR(Tabelle2[[#This Row],[Preis '[€']]]/(Tabelle2[[#This Row],[Menge '[g']]]),"")</f>
        <v/>
      </c>
      <c r="L155" s="12" t="str">
        <f>IFERROR(Tabelle2[[#This Row],[Preis '[€']]]/(Tabelle2[[#This Row],[Menge '[g']]]*Tabelle2[[#This Row],[Eiweiß '[g/100g']]]/100),"")</f>
        <v/>
      </c>
      <c r="M155" s="2" t="str">
        <f>IF(Tabelle2[[#This Row],[Kalorien '[kcal/100g']]]/100&lt;&gt;0,Tabelle2[[#This Row],[Kalorien '[kcal/100g']]]/100,"")</f>
        <v/>
      </c>
      <c r="N155" s="1" t="str">
        <f>IF(Tabelle2[[#This Row],[Eiweiß '[g/100g']]]/100&lt;&gt;0,Tabelle2[[#This Row],[Eiweiß '[g/100g']]]/100,"")</f>
        <v/>
      </c>
      <c r="O155" s="6"/>
      <c r="P155" s="6"/>
    </row>
    <row r="156" spans="5:16" x14ac:dyDescent="0.55000000000000004">
      <c r="E156" s="5"/>
      <c r="K156" s="12" t="str">
        <f>IFERROR(Tabelle2[[#This Row],[Preis '[€']]]/(Tabelle2[[#This Row],[Menge '[g']]]),"")</f>
        <v/>
      </c>
      <c r="L156" s="12" t="str">
        <f>IFERROR(Tabelle2[[#This Row],[Preis '[€']]]/(Tabelle2[[#This Row],[Menge '[g']]]*Tabelle2[[#This Row],[Eiweiß '[g/100g']]]/100),"")</f>
        <v/>
      </c>
      <c r="M156" s="2" t="str">
        <f>IF(Tabelle2[[#This Row],[Kalorien '[kcal/100g']]]/100&lt;&gt;0,Tabelle2[[#This Row],[Kalorien '[kcal/100g']]]/100,"")</f>
        <v/>
      </c>
      <c r="N156" s="1" t="str">
        <f>IF(Tabelle2[[#This Row],[Eiweiß '[g/100g']]]/100&lt;&gt;0,Tabelle2[[#This Row],[Eiweiß '[g/100g']]]/100,"")</f>
        <v/>
      </c>
      <c r="O156" s="6"/>
      <c r="P156" s="6"/>
    </row>
    <row r="157" spans="5:16" x14ac:dyDescent="0.55000000000000004">
      <c r="E157" s="5"/>
      <c r="K157" s="12" t="str">
        <f>IFERROR(Tabelle2[[#This Row],[Preis '[€']]]/(Tabelle2[[#This Row],[Menge '[g']]]),"")</f>
        <v/>
      </c>
      <c r="L157" s="12" t="str">
        <f>IFERROR(Tabelle2[[#This Row],[Preis '[€']]]/(Tabelle2[[#This Row],[Menge '[g']]]*Tabelle2[[#This Row],[Eiweiß '[g/100g']]]/100),"")</f>
        <v/>
      </c>
      <c r="M157" s="2" t="str">
        <f>IF(Tabelle2[[#This Row],[Kalorien '[kcal/100g']]]/100&lt;&gt;0,Tabelle2[[#This Row],[Kalorien '[kcal/100g']]]/100,"")</f>
        <v/>
      </c>
      <c r="N157" s="1" t="str">
        <f>IF(Tabelle2[[#This Row],[Eiweiß '[g/100g']]]/100&lt;&gt;0,Tabelle2[[#This Row],[Eiweiß '[g/100g']]]/100,"")</f>
        <v/>
      </c>
      <c r="O157" s="6"/>
      <c r="P157" s="6"/>
    </row>
    <row r="158" spans="5:16" x14ac:dyDescent="0.55000000000000004">
      <c r="E158" s="5"/>
      <c r="K158" s="12" t="str">
        <f>IFERROR(Tabelle2[[#This Row],[Preis '[€']]]/(Tabelle2[[#This Row],[Menge '[g']]]),"")</f>
        <v/>
      </c>
      <c r="L158" s="12" t="str">
        <f>IFERROR(Tabelle2[[#This Row],[Preis '[€']]]/(Tabelle2[[#This Row],[Menge '[g']]]*Tabelle2[[#This Row],[Eiweiß '[g/100g']]]/100),"")</f>
        <v/>
      </c>
      <c r="M158" s="2" t="str">
        <f>IF(Tabelle2[[#This Row],[Kalorien '[kcal/100g']]]/100&lt;&gt;0,Tabelle2[[#This Row],[Kalorien '[kcal/100g']]]/100,"")</f>
        <v/>
      </c>
      <c r="N158" s="1" t="str">
        <f>IF(Tabelle2[[#This Row],[Eiweiß '[g/100g']]]/100&lt;&gt;0,Tabelle2[[#This Row],[Eiweiß '[g/100g']]]/100,"")</f>
        <v/>
      </c>
      <c r="O158" s="6"/>
      <c r="P158" s="6"/>
    </row>
    <row r="159" spans="5:16" x14ac:dyDescent="0.55000000000000004">
      <c r="E159" s="5"/>
      <c r="K159" s="12" t="str">
        <f>IFERROR(Tabelle2[[#This Row],[Preis '[€']]]/(Tabelle2[[#This Row],[Menge '[g']]]),"")</f>
        <v/>
      </c>
      <c r="L159" s="12" t="str">
        <f>IFERROR(Tabelle2[[#This Row],[Preis '[€']]]/(Tabelle2[[#This Row],[Menge '[g']]]*Tabelle2[[#This Row],[Eiweiß '[g/100g']]]/100),"")</f>
        <v/>
      </c>
      <c r="M159" s="2" t="str">
        <f>IF(Tabelle2[[#This Row],[Kalorien '[kcal/100g']]]/100&lt;&gt;0,Tabelle2[[#This Row],[Kalorien '[kcal/100g']]]/100,"")</f>
        <v/>
      </c>
      <c r="N159" s="1" t="str">
        <f>IF(Tabelle2[[#This Row],[Eiweiß '[g/100g']]]/100&lt;&gt;0,Tabelle2[[#This Row],[Eiweiß '[g/100g']]]/100,"")</f>
        <v/>
      </c>
      <c r="O159" s="6"/>
      <c r="P159" s="6"/>
    </row>
    <row r="160" spans="5:16" x14ac:dyDescent="0.55000000000000004">
      <c r="E160" s="5"/>
      <c r="K160" s="12" t="str">
        <f>IFERROR(Tabelle2[[#This Row],[Preis '[€']]]/(Tabelle2[[#This Row],[Menge '[g']]]),"")</f>
        <v/>
      </c>
      <c r="L160" s="12" t="str">
        <f>IFERROR(Tabelle2[[#This Row],[Preis '[€']]]/(Tabelle2[[#This Row],[Menge '[g']]]*Tabelle2[[#This Row],[Eiweiß '[g/100g']]]/100),"")</f>
        <v/>
      </c>
      <c r="M160" s="2" t="str">
        <f>IF(Tabelle2[[#This Row],[Kalorien '[kcal/100g']]]/100&lt;&gt;0,Tabelle2[[#This Row],[Kalorien '[kcal/100g']]]/100,"")</f>
        <v/>
      </c>
      <c r="N160" s="1" t="str">
        <f>IF(Tabelle2[[#This Row],[Eiweiß '[g/100g']]]/100&lt;&gt;0,Tabelle2[[#This Row],[Eiweiß '[g/100g']]]/100,"")</f>
        <v/>
      </c>
      <c r="O160" s="6"/>
      <c r="P160" s="6"/>
    </row>
    <row r="161" spans="5:16" x14ac:dyDescent="0.55000000000000004">
      <c r="E161" s="5"/>
      <c r="K161" s="12" t="str">
        <f>IFERROR(Tabelle2[[#This Row],[Preis '[€']]]/(Tabelle2[[#This Row],[Menge '[g']]]),"")</f>
        <v/>
      </c>
      <c r="L161" s="12" t="str">
        <f>IFERROR(Tabelle2[[#This Row],[Preis '[€']]]/(Tabelle2[[#This Row],[Menge '[g']]]*Tabelle2[[#This Row],[Eiweiß '[g/100g']]]/100),"")</f>
        <v/>
      </c>
      <c r="M161" s="2" t="str">
        <f>IF(Tabelle2[[#This Row],[Kalorien '[kcal/100g']]]/100&lt;&gt;0,Tabelle2[[#This Row],[Kalorien '[kcal/100g']]]/100,"")</f>
        <v/>
      </c>
      <c r="N161" s="1" t="str">
        <f>IF(Tabelle2[[#This Row],[Eiweiß '[g/100g']]]/100&lt;&gt;0,Tabelle2[[#This Row],[Eiweiß '[g/100g']]]/100,"")</f>
        <v/>
      </c>
      <c r="O161" s="6"/>
      <c r="P161" s="6"/>
    </row>
    <row r="162" spans="5:16" x14ac:dyDescent="0.55000000000000004">
      <c r="E162" s="5"/>
      <c r="K162" s="12" t="str">
        <f>IFERROR(Tabelle2[[#This Row],[Preis '[€']]]/(Tabelle2[[#This Row],[Menge '[g']]]),"")</f>
        <v/>
      </c>
      <c r="L162" s="12" t="str">
        <f>IFERROR(Tabelle2[[#This Row],[Preis '[€']]]/(Tabelle2[[#This Row],[Menge '[g']]]*Tabelle2[[#This Row],[Eiweiß '[g/100g']]]/100),"")</f>
        <v/>
      </c>
      <c r="M162" s="2" t="str">
        <f>IF(Tabelle2[[#This Row],[Kalorien '[kcal/100g']]]/100&lt;&gt;0,Tabelle2[[#This Row],[Kalorien '[kcal/100g']]]/100,"")</f>
        <v/>
      </c>
      <c r="N162" s="1" t="str">
        <f>IF(Tabelle2[[#This Row],[Eiweiß '[g/100g']]]/100&lt;&gt;0,Tabelle2[[#This Row],[Eiweiß '[g/100g']]]/100,"")</f>
        <v/>
      </c>
      <c r="O162" s="6"/>
      <c r="P162" s="6"/>
    </row>
    <row r="163" spans="5:16" x14ac:dyDescent="0.55000000000000004">
      <c r="E163" s="5"/>
      <c r="K163" s="12" t="str">
        <f>IFERROR(Tabelle2[[#This Row],[Preis '[€']]]/(Tabelle2[[#This Row],[Menge '[g']]]),"")</f>
        <v/>
      </c>
      <c r="L163" s="12" t="str">
        <f>IFERROR(Tabelle2[[#This Row],[Preis '[€']]]/(Tabelle2[[#This Row],[Menge '[g']]]*Tabelle2[[#This Row],[Eiweiß '[g/100g']]]/100),"")</f>
        <v/>
      </c>
      <c r="M163" s="2" t="str">
        <f>IF(Tabelle2[[#This Row],[Kalorien '[kcal/100g']]]/100&lt;&gt;0,Tabelle2[[#This Row],[Kalorien '[kcal/100g']]]/100,"")</f>
        <v/>
      </c>
      <c r="N163" s="1" t="str">
        <f>IF(Tabelle2[[#This Row],[Eiweiß '[g/100g']]]/100&lt;&gt;0,Tabelle2[[#This Row],[Eiweiß '[g/100g']]]/100,"")</f>
        <v/>
      </c>
      <c r="O163" s="6"/>
      <c r="P163" s="6"/>
    </row>
    <row r="164" spans="5:16" x14ac:dyDescent="0.55000000000000004">
      <c r="E164" s="5"/>
      <c r="K164" s="12" t="str">
        <f>IFERROR(Tabelle2[[#This Row],[Preis '[€']]]/(Tabelle2[[#This Row],[Menge '[g']]]),"")</f>
        <v/>
      </c>
      <c r="L164" s="12" t="str">
        <f>IFERROR(Tabelle2[[#This Row],[Preis '[€']]]/(Tabelle2[[#This Row],[Menge '[g']]]*Tabelle2[[#This Row],[Eiweiß '[g/100g']]]/100),"")</f>
        <v/>
      </c>
      <c r="M164" s="2" t="str">
        <f>IF(Tabelle2[[#This Row],[Kalorien '[kcal/100g']]]/100&lt;&gt;0,Tabelle2[[#This Row],[Kalorien '[kcal/100g']]]/100,"")</f>
        <v/>
      </c>
      <c r="N164" s="1" t="str">
        <f>IF(Tabelle2[[#This Row],[Eiweiß '[g/100g']]]/100&lt;&gt;0,Tabelle2[[#This Row],[Eiweiß '[g/100g']]]/100,"")</f>
        <v/>
      </c>
      <c r="O164" s="6"/>
      <c r="P164" s="6"/>
    </row>
    <row r="165" spans="5:16" x14ac:dyDescent="0.55000000000000004">
      <c r="E165" s="5"/>
      <c r="K165" s="12" t="str">
        <f>IFERROR(Tabelle2[[#This Row],[Preis '[€']]]/(Tabelle2[[#This Row],[Menge '[g']]]),"")</f>
        <v/>
      </c>
      <c r="L165" s="12" t="str">
        <f>IFERROR(Tabelle2[[#This Row],[Preis '[€']]]/(Tabelle2[[#This Row],[Menge '[g']]]*Tabelle2[[#This Row],[Eiweiß '[g/100g']]]/100),"")</f>
        <v/>
      </c>
      <c r="M165" s="2" t="str">
        <f>IF(Tabelle2[[#This Row],[Kalorien '[kcal/100g']]]/100&lt;&gt;0,Tabelle2[[#This Row],[Kalorien '[kcal/100g']]]/100,"")</f>
        <v/>
      </c>
      <c r="N165" s="1" t="str">
        <f>IF(Tabelle2[[#This Row],[Eiweiß '[g/100g']]]/100&lt;&gt;0,Tabelle2[[#This Row],[Eiweiß '[g/100g']]]/100,"")</f>
        <v/>
      </c>
      <c r="O165" s="6"/>
      <c r="P165" s="6"/>
    </row>
    <row r="166" spans="5:16" x14ac:dyDescent="0.55000000000000004">
      <c r="E166" s="5"/>
      <c r="K166" s="12" t="str">
        <f>IFERROR(Tabelle2[[#This Row],[Preis '[€']]]/(Tabelle2[[#This Row],[Menge '[g']]]),"")</f>
        <v/>
      </c>
      <c r="L166" s="12" t="str">
        <f>IFERROR(Tabelle2[[#This Row],[Preis '[€']]]/(Tabelle2[[#This Row],[Menge '[g']]]*Tabelle2[[#This Row],[Eiweiß '[g/100g']]]/100),"")</f>
        <v/>
      </c>
      <c r="M166" s="2" t="str">
        <f>IF(Tabelle2[[#This Row],[Kalorien '[kcal/100g']]]/100&lt;&gt;0,Tabelle2[[#This Row],[Kalorien '[kcal/100g']]]/100,"")</f>
        <v/>
      </c>
      <c r="N166" s="1" t="str">
        <f>IF(Tabelle2[[#This Row],[Eiweiß '[g/100g']]]/100&lt;&gt;0,Tabelle2[[#This Row],[Eiweiß '[g/100g']]]/100,"")</f>
        <v/>
      </c>
      <c r="O166" s="6"/>
      <c r="P166" s="6"/>
    </row>
    <row r="167" spans="5:16" x14ac:dyDescent="0.55000000000000004">
      <c r="E167" s="5"/>
      <c r="K167" s="12" t="str">
        <f>IFERROR(Tabelle2[[#This Row],[Preis '[€']]]/(Tabelle2[[#This Row],[Menge '[g']]]),"")</f>
        <v/>
      </c>
      <c r="L167" s="12" t="str">
        <f>IFERROR(Tabelle2[[#This Row],[Preis '[€']]]/(Tabelle2[[#This Row],[Menge '[g']]]*Tabelle2[[#This Row],[Eiweiß '[g/100g']]]/100),"")</f>
        <v/>
      </c>
      <c r="M167" s="2" t="str">
        <f>IF(Tabelle2[[#This Row],[Kalorien '[kcal/100g']]]/100&lt;&gt;0,Tabelle2[[#This Row],[Kalorien '[kcal/100g']]]/100,"")</f>
        <v/>
      </c>
      <c r="N167" s="1" t="str">
        <f>IF(Tabelle2[[#This Row],[Eiweiß '[g/100g']]]/100&lt;&gt;0,Tabelle2[[#This Row],[Eiweiß '[g/100g']]]/100,"")</f>
        <v/>
      </c>
      <c r="O167" s="6"/>
      <c r="P167" s="6"/>
    </row>
    <row r="168" spans="5:16" x14ac:dyDescent="0.55000000000000004">
      <c r="E168" s="5"/>
      <c r="K168" s="12" t="str">
        <f>IFERROR(Tabelle2[[#This Row],[Preis '[€']]]/(Tabelle2[[#This Row],[Menge '[g']]]),"")</f>
        <v/>
      </c>
      <c r="L168" s="12" t="str">
        <f>IFERROR(Tabelle2[[#This Row],[Preis '[€']]]/(Tabelle2[[#This Row],[Menge '[g']]]*Tabelle2[[#This Row],[Eiweiß '[g/100g']]]/100),"")</f>
        <v/>
      </c>
      <c r="M168" s="2" t="str">
        <f>IF(Tabelle2[[#This Row],[Kalorien '[kcal/100g']]]/100&lt;&gt;0,Tabelle2[[#This Row],[Kalorien '[kcal/100g']]]/100,"")</f>
        <v/>
      </c>
      <c r="N168" s="1" t="str">
        <f>IF(Tabelle2[[#This Row],[Eiweiß '[g/100g']]]/100&lt;&gt;0,Tabelle2[[#This Row],[Eiweiß '[g/100g']]]/100,"")</f>
        <v/>
      </c>
      <c r="O168" s="6"/>
      <c r="P168" s="6"/>
    </row>
    <row r="169" spans="5:16" x14ac:dyDescent="0.55000000000000004">
      <c r="E169" s="5"/>
      <c r="K169" s="12" t="str">
        <f>IFERROR(Tabelle2[[#This Row],[Preis '[€']]]/(Tabelle2[[#This Row],[Menge '[g']]]),"")</f>
        <v/>
      </c>
      <c r="L169" s="12" t="str">
        <f>IFERROR(Tabelle2[[#This Row],[Preis '[€']]]/(Tabelle2[[#This Row],[Menge '[g']]]*Tabelle2[[#This Row],[Eiweiß '[g/100g']]]/100),"")</f>
        <v/>
      </c>
      <c r="M169" s="2" t="str">
        <f>IF(Tabelle2[[#This Row],[Kalorien '[kcal/100g']]]/100&lt;&gt;0,Tabelle2[[#This Row],[Kalorien '[kcal/100g']]]/100,"")</f>
        <v/>
      </c>
      <c r="N169" s="1" t="str">
        <f>IF(Tabelle2[[#This Row],[Eiweiß '[g/100g']]]/100&lt;&gt;0,Tabelle2[[#This Row],[Eiweiß '[g/100g']]]/100,"")</f>
        <v/>
      </c>
      <c r="O169" s="6"/>
      <c r="P169" s="6"/>
    </row>
    <row r="170" spans="5:16" x14ac:dyDescent="0.55000000000000004">
      <c r="E170" s="5"/>
      <c r="K170" s="12" t="str">
        <f>IFERROR(Tabelle2[[#This Row],[Preis '[€']]]/(Tabelle2[[#This Row],[Menge '[g']]]),"")</f>
        <v/>
      </c>
      <c r="L170" s="12" t="str">
        <f>IFERROR(Tabelle2[[#This Row],[Preis '[€']]]/(Tabelle2[[#This Row],[Menge '[g']]]*Tabelle2[[#This Row],[Eiweiß '[g/100g']]]/100),"")</f>
        <v/>
      </c>
      <c r="M170" s="2" t="str">
        <f>IF(Tabelle2[[#This Row],[Kalorien '[kcal/100g']]]/100&lt;&gt;0,Tabelle2[[#This Row],[Kalorien '[kcal/100g']]]/100,"")</f>
        <v/>
      </c>
      <c r="N170" s="1" t="str">
        <f>IF(Tabelle2[[#This Row],[Eiweiß '[g/100g']]]/100&lt;&gt;0,Tabelle2[[#This Row],[Eiweiß '[g/100g']]]/100,"")</f>
        <v/>
      </c>
      <c r="O170" s="6"/>
      <c r="P170" s="6"/>
    </row>
    <row r="171" spans="5:16" x14ac:dyDescent="0.55000000000000004">
      <c r="E171" s="5"/>
      <c r="K171" s="12" t="str">
        <f>IFERROR(Tabelle2[[#This Row],[Preis '[€']]]/(Tabelle2[[#This Row],[Menge '[g']]]),"")</f>
        <v/>
      </c>
      <c r="L171" s="12" t="str">
        <f>IFERROR(Tabelle2[[#This Row],[Preis '[€']]]/(Tabelle2[[#This Row],[Menge '[g']]]*Tabelle2[[#This Row],[Eiweiß '[g/100g']]]/100),"")</f>
        <v/>
      </c>
      <c r="M171" s="2" t="str">
        <f>IF(Tabelle2[[#This Row],[Kalorien '[kcal/100g']]]/100&lt;&gt;0,Tabelle2[[#This Row],[Kalorien '[kcal/100g']]]/100,"")</f>
        <v/>
      </c>
      <c r="N171" s="1" t="str">
        <f>IF(Tabelle2[[#This Row],[Eiweiß '[g/100g']]]/100&lt;&gt;0,Tabelle2[[#This Row],[Eiweiß '[g/100g']]]/100,"")</f>
        <v/>
      </c>
      <c r="O171" s="6"/>
      <c r="P171" s="6"/>
    </row>
    <row r="172" spans="5:16" x14ac:dyDescent="0.55000000000000004">
      <c r="E172" s="5"/>
      <c r="K172" s="12" t="str">
        <f>IFERROR(Tabelle2[[#This Row],[Preis '[€']]]/(Tabelle2[[#This Row],[Menge '[g']]]),"")</f>
        <v/>
      </c>
      <c r="L172" s="12" t="str">
        <f>IFERROR(Tabelle2[[#This Row],[Preis '[€']]]/(Tabelle2[[#This Row],[Menge '[g']]]*Tabelle2[[#This Row],[Eiweiß '[g/100g']]]/100),"")</f>
        <v/>
      </c>
      <c r="M172" s="2" t="str">
        <f>IF(Tabelle2[[#This Row],[Kalorien '[kcal/100g']]]/100&lt;&gt;0,Tabelle2[[#This Row],[Kalorien '[kcal/100g']]]/100,"")</f>
        <v/>
      </c>
      <c r="N172" s="1" t="str">
        <f>IF(Tabelle2[[#This Row],[Eiweiß '[g/100g']]]/100&lt;&gt;0,Tabelle2[[#This Row],[Eiweiß '[g/100g']]]/100,"")</f>
        <v/>
      </c>
      <c r="O172" s="6"/>
      <c r="P172" s="6"/>
    </row>
    <row r="173" spans="5:16" x14ac:dyDescent="0.55000000000000004">
      <c r="E173" s="5"/>
      <c r="K173" s="12" t="str">
        <f>IFERROR(Tabelle2[[#This Row],[Preis '[€']]]/(Tabelle2[[#This Row],[Menge '[g']]]),"")</f>
        <v/>
      </c>
      <c r="L173" s="12" t="str">
        <f>IFERROR(Tabelle2[[#This Row],[Preis '[€']]]/(Tabelle2[[#This Row],[Menge '[g']]]*Tabelle2[[#This Row],[Eiweiß '[g/100g']]]/100),"")</f>
        <v/>
      </c>
      <c r="M173" s="2" t="str">
        <f>IF(Tabelle2[[#This Row],[Kalorien '[kcal/100g']]]/100&lt;&gt;0,Tabelle2[[#This Row],[Kalorien '[kcal/100g']]]/100,"")</f>
        <v/>
      </c>
      <c r="N173" s="1" t="str">
        <f>IF(Tabelle2[[#This Row],[Eiweiß '[g/100g']]]/100&lt;&gt;0,Tabelle2[[#This Row],[Eiweiß '[g/100g']]]/100,"")</f>
        <v/>
      </c>
      <c r="O173" s="6"/>
      <c r="P173" s="6"/>
    </row>
    <row r="174" spans="5:16" x14ac:dyDescent="0.55000000000000004">
      <c r="E174" s="5"/>
      <c r="K174" s="12" t="str">
        <f>IFERROR(Tabelle2[[#This Row],[Preis '[€']]]/(Tabelle2[[#This Row],[Menge '[g']]]),"")</f>
        <v/>
      </c>
      <c r="L174" s="12" t="str">
        <f>IFERROR(Tabelle2[[#This Row],[Preis '[€']]]/(Tabelle2[[#This Row],[Menge '[g']]]*Tabelle2[[#This Row],[Eiweiß '[g/100g']]]/100),"")</f>
        <v/>
      </c>
      <c r="M174" s="2" t="str">
        <f>IF(Tabelle2[[#This Row],[Kalorien '[kcal/100g']]]/100&lt;&gt;0,Tabelle2[[#This Row],[Kalorien '[kcal/100g']]]/100,"")</f>
        <v/>
      </c>
      <c r="N174" s="1" t="str">
        <f>IF(Tabelle2[[#This Row],[Eiweiß '[g/100g']]]/100&lt;&gt;0,Tabelle2[[#This Row],[Eiweiß '[g/100g']]]/100,"")</f>
        <v/>
      </c>
      <c r="O174" s="6"/>
      <c r="P174" s="6"/>
    </row>
    <row r="175" spans="5:16" x14ac:dyDescent="0.55000000000000004">
      <c r="E175" s="5"/>
      <c r="K175" s="12" t="str">
        <f>IFERROR(Tabelle2[[#This Row],[Preis '[€']]]/(Tabelle2[[#This Row],[Menge '[g']]]),"")</f>
        <v/>
      </c>
      <c r="L175" s="12" t="str">
        <f>IFERROR(Tabelle2[[#This Row],[Preis '[€']]]/(Tabelle2[[#This Row],[Menge '[g']]]*Tabelle2[[#This Row],[Eiweiß '[g/100g']]]/100),"")</f>
        <v/>
      </c>
      <c r="M175" s="2" t="str">
        <f>IF(Tabelle2[[#This Row],[Kalorien '[kcal/100g']]]/100&lt;&gt;0,Tabelle2[[#This Row],[Kalorien '[kcal/100g']]]/100,"")</f>
        <v/>
      </c>
      <c r="N175" s="1" t="str">
        <f>IF(Tabelle2[[#This Row],[Eiweiß '[g/100g']]]/100&lt;&gt;0,Tabelle2[[#This Row],[Eiweiß '[g/100g']]]/100,"")</f>
        <v/>
      </c>
      <c r="O175" s="6"/>
      <c r="P175" s="6"/>
    </row>
    <row r="176" spans="5:16" x14ac:dyDescent="0.55000000000000004">
      <c r="E176" s="5"/>
      <c r="K176" s="12" t="str">
        <f>IFERROR(Tabelle2[[#This Row],[Preis '[€']]]/(Tabelle2[[#This Row],[Menge '[g']]]),"")</f>
        <v/>
      </c>
      <c r="L176" s="12" t="str">
        <f>IFERROR(Tabelle2[[#This Row],[Preis '[€']]]/(Tabelle2[[#This Row],[Menge '[g']]]*Tabelle2[[#This Row],[Eiweiß '[g/100g']]]/100),"")</f>
        <v/>
      </c>
      <c r="M176" s="2" t="str">
        <f>IF(Tabelle2[[#This Row],[Kalorien '[kcal/100g']]]/100&lt;&gt;0,Tabelle2[[#This Row],[Kalorien '[kcal/100g']]]/100,"")</f>
        <v/>
      </c>
      <c r="N176" s="1" t="str">
        <f>IF(Tabelle2[[#This Row],[Eiweiß '[g/100g']]]/100&lt;&gt;0,Tabelle2[[#This Row],[Eiweiß '[g/100g']]]/100,"")</f>
        <v/>
      </c>
      <c r="O176" s="6"/>
      <c r="P176" s="6"/>
    </row>
    <row r="177" spans="5:16" x14ac:dyDescent="0.55000000000000004">
      <c r="E177" s="5"/>
      <c r="K177" s="12" t="str">
        <f>IFERROR(Tabelle2[[#This Row],[Preis '[€']]]/(Tabelle2[[#This Row],[Menge '[g']]]),"")</f>
        <v/>
      </c>
      <c r="L177" s="12" t="str">
        <f>IFERROR(Tabelle2[[#This Row],[Preis '[€']]]/(Tabelle2[[#This Row],[Menge '[g']]]*Tabelle2[[#This Row],[Eiweiß '[g/100g']]]/100),"")</f>
        <v/>
      </c>
      <c r="M177" s="2" t="str">
        <f>IF(Tabelle2[[#This Row],[Kalorien '[kcal/100g']]]/100&lt;&gt;0,Tabelle2[[#This Row],[Kalorien '[kcal/100g']]]/100,"")</f>
        <v/>
      </c>
      <c r="N177" s="1" t="str">
        <f>IF(Tabelle2[[#This Row],[Eiweiß '[g/100g']]]/100&lt;&gt;0,Tabelle2[[#This Row],[Eiweiß '[g/100g']]]/100,"")</f>
        <v/>
      </c>
      <c r="O177" s="6"/>
      <c r="P177" s="6"/>
    </row>
    <row r="178" spans="5:16" x14ac:dyDescent="0.55000000000000004">
      <c r="E178" s="5"/>
      <c r="K178" s="12" t="str">
        <f>IFERROR(Tabelle2[[#This Row],[Preis '[€']]]/(Tabelle2[[#This Row],[Menge '[g']]]),"")</f>
        <v/>
      </c>
      <c r="L178" s="12" t="str">
        <f>IFERROR(Tabelle2[[#This Row],[Preis '[€']]]/(Tabelle2[[#This Row],[Menge '[g']]]*Tabelle2[[#This Row],[Eiweiß '[g/100g']]]/100),"")</f>
        <v/>
      </c>
      <c r="M178" s="2" t="str">
        <f>IF(Tabelle2[[#This Row],[Kalorien '[kcal/100g']]]/100&lt;&gt;0,Tabelle2[[#This Row],[Kalorien '[kcal/100g']]]/100,"")</f>
        <v/>
      </c>
      <c r="N178" s="1" t="str">
        <f>IF(Tabelle2[[#This Row],[Eiweiß '[g/100g']]]/100&lt;&gt;0,Tabelle2[[#This Row],[Eiweiß '[g/100g']]]/100,"")</f>
        <v/>
      </c>
      <c r="O178" s="6"/>
      <c r="P178" s="6"/>
    </row>
    <row r="179" spans="5:16" x14ac:dyDescent="0.55000000000000004">
      <c r="E179" s="5"/>
      <c r="K179" s="12" t="str">
        <f>IFERROR(Tabelle2[[#This Row],[Preis '[€']]]/(Tabelle2[[#This Row],[Menge '[g']]]),"")</f>
        <v/>
      </c>
      <c r="L179" s="12" t="str">
        <f>IFERROR(Tabelle2[[#This Row],[Preis '[€']]]/(Tabelle2[[#This Row],[Menge '[g']]]*Tabelle2[[#This Row],[Eiweiß '[g/100g']]]/100),"")</f>
        <v/>
      </c>
      <c r="M179" s="2" t="str">
        <f>IF(Tabelle2[[#This Row],[Kalorien '[kcal/100g']]]/100&lt;&gt;0,Tabelle2[[#This Row],[Kalorien '[kcal/100g']]]/100,"")</f>
        <v/>
      </c>
      <c r="N179" s="1" t="str">
        <f>IF(Tabelle2[[#This Row],[Eiweiß '[g/100g']]]/100&lt;&gt;0,Tabelle2[[#This Row],[Eiweiß '[g/100g']]]/100,"")</f>
        <v/>
      </c>
      <c r="O179" s="6"/>
      <c r="P179" s="6"/>
    </row>
    <row r="180" spans="5:16" x14ac:dyDescent="0.55000000000000004">
      <c r="E180" s="5"/>
      <c r="K180" s="12" t="str">
        <f>IFERROR(Tabelle2[[#This Row],[Preis '[€']]]/(Tabelle2[[#This Row],[Menge '[g']]]),"")</f>
        <v/>
      </c>
      <c r="L180" s="12" t="str">
        <f>IFERROR(Tabelle2[[#This Row],[Preis '[€']]]/(Tabelle2[[#This Row],[Menge '[g']]]*Tabelle2[[#This Row],[Eiweiß '[g/100g']]]/100),"")</f>
        <v/>
      </c>
      <c r="M180" s="2" t="str">
        <f>IF(Tabelle2[[#This Row],[Kalorien '[kcal/100g']]]/100&lt;&gt;0,Tabelle2[[#This Row],[Kalorien '[kcal/100g']]]/100,"")</f>
        <v/>
      </c>
      <c r="N180" s="1" t="str">
        <f>IF(Tabelle2[[#This Row],[Eiweiß '[g/100g']]]/100&lt;&gt;0,Tabelle2[[#This Row],[Eiweiß '[g/100g']]]/100,"")</f>
        <v/>
      </c>
      <c r="O180" s="6"/>
      <c r="P180" s="6"/>
    </row>
    <row r="181" spans="5:16" x14ac:dyDescent="0.55000000000000004">
      <c r="E181" s="5"/>
      <c r="K181" s="12" t="str">
        <f>IFERROR(Tabelle2[[#This Row],[Preis '[€']]]/(Tabelle2[[#This Row],[Menge '[g']]]),"")</f>
        <v/>
      </c>
      <c r="L181" s="12" t="str">
        <f>IFERROR(Tabelle2[[#This Row],[Preis '[€']]]/(Tabelle2[[#This Row],[Menge '[g']]]*Tabelle2[[#This Row],[Eiweiß '[g/100g']]]/100),"")</f>
        <v/>
      </c>
      <c r="M181" s="2" t="str">
        <f>IF(Tabelle2[[#This Row],[Kalorien '[kcal/100g']]]/100&lt;&gt;0,Tabelle2[[#This Row],[Kalorien '[kcal/100g']]]/100,"")</f>
        <v/>
      </c>
      <c r="N181" s="1" t="str">
        <f>IF(Tabelle2[[#This Row],[Eiweiß '[g/100g']]]/100&lt;&gt;0,Tabelle2[[#This Row],[Eiweiß '[g/100g']]]/100,"")</f>
        <v/>
      </c>
      <c r="O181" s="6"/>
      <c r="P181" s="6"/>
    </row>
    <row r="182" spans="5:16" x14ac:dyDescent="0.55000000000000004">
      <c r="E182" s="5"/>
      <c r="K182" s="12" t="str">
        <f>IFERROR(Tabelle2[[#This Row],[Preis '[€']]]/(Tabelle2[[#This Row],[Menge '[g']]]),"")</f>
        <v/>
      </c>
      <c r="L182" s="12" t="str">
        <f>IFERROR(Tabelle2[[#This Row],[Preis '[€']]]/(Tabelle2[[#This Row],[Menge '[g']]]*Tabelle2[[#This Row],[Eiweiß '[g/100g']]]/100),"")</f>
        <v/>
      </c>
      <c r="M182" s="2" t="str">
        <f>IF(Tabelle2[[#This Row],[Kalorien '[kcal/100g']]]/100&lt;&gt;0,Tabelle2[[#This Row],[Kalorien '[kcal/100g']]]/100,"")</f>
        <v/>
      </c>
      <c r="N182" s="1" t="str">
        <f>IF(Tabelle2[[#This Row],[Eiweiß '[g/100g']]]/100&lt;&gt;0,Tabelle2[[#This Row],[Eiweiß '[g/100g']]]/100,"")</f>
        <v/>
      </c>
      <c r="O182" s="6"/>
      <c r="P182" s="6"/>
    </row>
    <row r="183" spans="5:16" x14ac:dyDescent="0.55000000000000004">
      <c r="E183" s="5"/>
      <c r="K183" s="12" t="str">
        <f>IFERROR(Tabelle2[[#This Row],[Preis '[€']]]/(Tabelle2[[#This Row],[Menge '[g']]]),"")</f>
        <v/>
      </c>
      <c r="L183" s="12" t="str">
        <f>IFERROR(Tabelle2[[#This Row],[Preis '[€']]]/(Tabelle2[[#This Row],[Menge '[g']]]*Tabelle2[[#This Row],[Eiweiß '[g/100g']]]/100),"")</f>
        <v/>
      </c>
      <c r="M183" s="2" t="str">
        <f>IF(Tabelle2[[#This Row],[Kalorien '[kcal/100g']]]/100&lt;&gt;0,Tabelle2[[#This Row],[Kalorien '[kcal/100g']]]/100,"")</f>
        <v/>
      </c>
      <c r="N183" s="1" t="str">
        <f>IF(Tabelle2[[#This Row],[Eiweiß '[g/100g']]]/100&lt;&gt;0,Tabelle2[[#This Row],[Eiweiß '[g/100g']]]/100,"")</f>
        <v/>
      </c>
      <c r="O183" s="6"/>
      <c r="P183" s="6"/>
    </row>
    <row r="184" spans="5:16" x14ac:dyDescent="0.55000000000000004">
      <c r="E184" s="5"/>
      <c r="K184" s="12" t="str">
        <f>IFERROR(Tabelle2[[#This Row],[Preis '[€']]]/(Tabelle2[[#This Row],[Menge '[g']]]),"")</f>
        <v/>
      </c>
      <c r="L184" s="12" t="str">
        <f>IFERROR(Tabelle2[[#This Row],[Preis '[€']]]/(Tabelle2[[#This Row],[Menge '[g']]]*Tabelle2[[#This Row],[Eiweiß '[g/100g']]]/100),"")</f>
        <v/>
      </c>
      <c r="M184" s="2" t="str">
        <f>IF(Tabelle2[[#This Row],[Kalorien '[kcal/100g']]]/100&lt;&gt;0,Tabelle2[[#This Row],[Kalorien '[kcal/100g']]]/100,"")</f>
        <v/>
      </c>
      <c r="N184" s="1" t="str">
        <f>IF(Tabelle2[[#This Row],[Eiweiß '[g/100g']]]/100&lt;&gt;0,Tabelle2[[#This Row],[Eiweiß '[g/100g']]]/100,"")</f>
        <v/>
      </c>
      <c r="O184" s="6"/>
      <c r="P184" s="6"/>
    </row>
    <row r="185" spans="5:16" x14ac:dyDescent="0.55000000000000004">
      <c r="E185" s="5"/>
      <c r="K185" s="12" t="str">
        <f>IFERROR(Tabelle2[[#This Row],[Preis '[€']]]/(Tabelle2[[#This Row],[Menge '[g']]]),"")</f>
        <v/>
      </c>
      <c r="L185" s="12" t="str">
        <f>IFERROR(Tabelle2[[#This Row],[Preis '[€']]]/(Tabelle2[[#This Row],[Menge '[g']]]*Tabelle2[[#This Row],[Eiweiß '[g/100g']]]/100),"")</f>
        <v/>
      </c>
      <c r="M185" s="2" t="str">
        <f>IF(Tabelle2[[#This Row],[Kalorien '[kcal/100g']]]/100&lt;&gt;0,Tabelle2[[#This Row],[Kalorien '[kcal/100g']]]/100,"")</f>
        <v/>
      </c>
      <c r="N185" s="1" t="str">
        <f>IF(Tabelle2[[#This Row],[Eiweiß '[g/100g']]]/100&lt;&gt;0,Tabelle2[[#This Row],[Eiweiß '[g/100g']]]/100,"")</f>
        <v/>
      </c>
      <c r="O185" s="6"/>
      <c r="P185" s="6"/>
    </row>
    <row r="186" spans="5:16" x14ac:dyDescent="0.55000000000000004">
      <c r="E186" s="5"/>
      <c r="K186" s="12" t="str">
        <f>IFERROR(Tabelle2[[#This Row],[Preis '[€']]]/(Tabelle2[[#This Row],[Menge '[g']]]),"")</f>
        <v/>
      </c>
      <c r="L186" s="12" t="str">
        <f>IFERROR(Tabelle2[[#This Row],[Preis '[€']]]/(Tabelle2[[#This Row],[Menge '[g']]]*Tabelle2[[#This Row],[Eiweiß '[g/100g']]]/100),"")</f>
        <v/>
      </c>
      <c r="M186" s="2" t="str">
        <f>IF(Tabelle2[[#This Row],[Kalorien '[kcal/100g']]]/100&lt;&gt;0,Tabelle2[[#This Row],[Kalorien '[kcal/100g']]]/100,"")</f>
        <v/>
      </c>
      <c r="N186" s="1" t="str">
        <f>IF(Tabelle2[[#This Row],[Eiweiß '[g/100g']]]/100&lt;&gt;0,Tabelle2[[#This Row],[Eiweiß '[g/100g']]]/100,"")</f>
        <v/>
      </c>
      <c r="O186" s="6"/>
      <c r="P186" s="6"/>
    </row>
    <row r="187" spans="5:16" x14ac:dyDescent="0.55000000000000004">
      <c r="E187" s="5"/>
      <c r="K187" s="12" t="str">
        <f>IFERROR(Tabelle2[[#This Row],[Preis '[€']]]/(Tabelle2[[#This Row],[Menge '[g']]]),"")</f>
        <v/>
      </c>
      <c r="L187" s="12" t="str">
        <f>IFERROR(Tabelle2[[#This Row],[Preis '[€']]]/(Tabelle2[[#This Row],[Menge '[g']]]*Tabelle2[[#This Row],[Eiweiß '[g/100g']]]/100),"")</f>
        <v/>
      </c>
      <c r="M187" s="2" t="str">
        <f>IF(Tabelle2[[#This Row],[Kalorien '[kcal/100g']]]/100&lt;&gt;0,Tabelle2[[#This Row],[Kalorien '[kcal/100g']]]/100,"")</f>
        <v/>
      </c>
      <c r="N187" s="1" t="str">
        <f>IF(Tabelle2[[#This Row],[Eiweiß '[g/100g']]]/100&lt;&gt;0,Tabelle2[[#This Row],[Eiweiß '[g/100g']]]/100,"")</f>
        <v/>
      </c>
      <c r="O187" s="6"/>
      <c r="P187" s="6"/>
    </row>
    <row r="188" spans="5:16" x14ac:dyDescent="0.55000000000000004">
      <c r="E188" s="5"/>
      <c r="K188" s="12" t="str">
        <f>IFERROR(Tabelle2[[#This Row],[Preis '[€']]]/(Tabelle2[[#This Row],[Menge '[g']]]),"")</f>
        <v/>
      </c>
      <c r="L188" s="12" t="str">
        <f>IFERROR(Tabelle2[[#This Row],[Preis '[€']]]/(Tabelle2[[#This Row],[Menge '[g']]]*Tabelle2[[#This Row],[Eiweiß '[g/100g']]]/100),"")</f>
        <v/>
      </c>
      <c r="M188" s="2" t="str">
        <f>IF(Tabelle2[[#This Row],[Kalorien '[kcal/100g']]]/100&lt;&gt;0,Tabelle2[[#This Row],[Kalorien '[kcal/100g']]]/100,"")</f>
        <v/>
      </c>
      <c r="N188" s="1" t="str">
        <f>IF(Tabelle2[[#This Row],[Eiweiß '[g/100g']]]/100&lt;&gt;0,Tabelle2[[#This Row],[Eiweiß '[g/100g']]]/100,"")</f>
        <v/>
      </c>
      <c r="O188" s="6"/>
      <c r="P188" s="6"/>
    </row>
    <row r="189" spans="5:16" x14ac:dyDescent="0.55000000000000004">
      <c r="E189" s="5"/>
      <c r="K189" s="12" t="str">
        <f>IFERROR(Tabelle2[[#This Row],[Preis '[€']]]/(Tabelle2[[#This Row],[Menge '[g']]]),"")</f>
        <v/>
      </c>
      <c r="L189" s="12" t="str">
        <f>IFERROR(Tabelle2[[#This Row],[Preis '[€']]]/(Tabelle2[[#This Row],[Menge '[g']]]*Tabelle2[[#This Row],[Eiweiß '[g/100g']]]/100),"")</f>
        <v/>
      </c>
      <c r="M189" s="2" t="str">
        <f>IF(Tabelle2[[#This Row],[Kalorien '[kcal/100g']]]/100&lt;&gt;0,Tabelle2[[#This Row],[Kalorien '[kcal/100g']]]/100,"")</f>
        <v/>
      </c>
      <c r="N189" s="1" t="str">
        <f>IF(Tabelle2[[#This Row],[Eiweiß '[g/100g']]]/100&lt;&gt;0,Tabelle2[[#This Row],[Eiweiß '[g/100g']]]/100,"")</f>
        <v/>
      </c>
      <c r="O189" s="6"/>
      <c r="P189" s="6"/>
    </row>
    <row r="190" spans="5:16" x14ac:dyDescent="0.55000000000000004">
      <c r="E190" s="5"/>
      <c r="K190" s="12" t="str">
        <f>IFERROR(Tabelle2[[#This Row],[Preis '[€']]]/(Tabelle2[[#This Row],[Menge '[g']]]),"")</f>
        <v/>
      </c>
      <c r="L190" s="12" t="str">
        <f>IFERROR(Tabelle2[[#This Row],[Preis '[€']]]/(Tabelle2[[#This Row],[Menge '[g']]]*Tabelle2[[#This Row],[Eiweiß '[g/100g']]]/100),"")</f>
        <v/>
      </c>
      <c r="M190" s="2" t="str">
        <f>IF(Tabelle2[[#This Row],[Kalorien '[kcal/100g']]]/100&lt;&gt;0,Tabelle2[[#This Row],[Kalorien '[kcal/100g']]]/100,"")</f>
        <v/>
      </c>
      <c r="N190" s="1" t="str">
        <f>IF(Tabelle2[[#This Row],[Eiweiß '[g/100g']]]/100&lt;&gt;0,Tabelle2[[#This Row],[Eiweiß '[g/100g']]]/100,"")</f>
        <v/>
      </c>
      <c r="O190" s="6"/>
      <c r="P190" s="6"/>
    </row>
    <row r="191" spans="5:16" x14ac:dyDescent="0.55000000000000004">
      <c r="E191" s="5"/>
      <c r="K191" s="12" t="str">
        <f>IFERROR(Tabelle2[[#This Row],[Preis '[€']]]/(Tabelle2[[#This Row],[Menge '[g']]]),"")</f>
        <v/>
      </c>
      <c r="L191" s="12" t="str">
        <f>IFERROR(Tabelle2[[#This Row],[Preis '[€']]]/(Tabelle2[[#This Row],[Menge '[g']]]*Tabelle2[[#This Row],[Eiweiß '[g/100g']]]/100),"")</f>
        <v/>
      </c>
      <c r="M191" s="2" t="str">
        <f>IF(Tabelle2[[#This Row],[Kalorien '[kcal/100g']]]/100&lt;&gt;0,Tabelle2[[#This Row],[Kalorien '[kcal/100g']]]/100,"")</f>
        <v/>
      </c>
      <c r="N191" s="1" t="str">
        <f>IF(Tabelle2[[#This Row],[Eiweiß '[g/100g']]]/100&lt;&gt;0,Tabelle2[[#This Row],[Eiweiß '[g/100g']]]/100,"")</f>
        <v/>
      </c>
      <c r="O191" s="6"/>
      <c r="P191" s="6"/>
    </row>
    <row r="192" spans="5:16" x14ac:dyDescent="0.55000000000000004">
      <c r="E192" s="5"/>
      <c r="K192" s="12" t="str">
        <f>IFERROR(Tabelle2[[#This Row],[Preis '[€']]]/(Tabelle2[[#This Row],[Menge '[g']]]),"")</f>
        <v/>
      </c>
      <c r="L192" s="12" t="str">
        <f>IFERROR(Tabelle2[[#This Row],[Preis '[€']]]/(Tabelle2[[#This Row],[Menge '[g']]]*Tabelle2[[#This Row],[Eiweiß '[g/100g']]]/100),"")</f>
        <v/>
      </c>
      <c r="M192" s="2" t="str">
        <f>IF(Tabelle2[[#This Row],[Kalorien '[kcal/100g']]]/100&lt;&gt;0,Tabelle2[[#This Row],[Kalorien '[kcal/100g']]]/100,"")</f>
        <v/>
      </c>
      <c r="N192" s="1" t="str">
        <f>IF(Tabelle2[[#This Row],[Eiweiß '[g/100g']]]/100&lt;&gt;0,Tabelle2[[#This Row],[Eiweiß '[g/100g']]]/100,"")</f>
        <v/>
      </c>
      <c r="O192" s="6"/>
      <c r="P192" s="6"/>
    </row>
    <row r="193" spans="5:16" x14ac:dyDescent="0.55000000000000004">
      <c r="E193" s="5"/>
      <c r="K193" s="12" t="str">
        <f>IFERROR(Tabelle2[[#This Row],[Preis '[€']]]/(Tabelle2[[#This Row],[Menge '[g']]]),"")</f>
        <v/>
      </c>
      <c r="L193" s="12" t="str">
        <f>IFERROR(Tabelle2[[#This Row],[Preis '[€']]]/(Tabelle2[[#This Row],[Menge '[g']]]*Tabelle2[[#This Row],[Eiweiß '[g/100g']]]/100),"")</f>
        <v/>
      </c>
      <c r="M193" s="2" t="str">
        <f>IF(Tabelle2[[#This Row],[Kalorien '[kcal/100g']]]/100&lt;&gt;0,Tabelle2[[#This Row],[Kalorien '[kcal/100g']]]/100,"")</f>
        <v/>
      </c>
      <c r="N193" s="1" t="str">
        <f>IF(Tabelle2[[#This Row],[Eiweiß '[g/100g']]]/100&lt;&gt;0,Tabelle2[[#This Row],[Eiweiß '[g/100g']]]/100,"")</f>
        <v/>
      </c>
      <c r="O193" s="6"/>
      <c r="P193" s="6"/>
    </row>
    <row r="194" spans="5:16" x14ac:dyDescent="0.55000000000000004">
      <c r="E194" s="5"/>
      <c r="K194" s="12" t="str">
        <f>IFERROR(Tabelle2[[#This Row],[Preis '[€']]]/(Tabelle2[[#This Row],[Menge '[g']]]),"")</f>
        <v/>
      </c>
      <c r="L194" s="12" t="str">
        <f>IFERROR(Tabelle2[[#This Row],[Preis '[€']]]/(Tabelle2[[#This Row],[Menge '[g']]]*Tabelle2[[#This Row],[Eiweiß '[g/100g']]]/100),"")</f>
        <v/>
      </c>
      <c r="M194" s="2" t="str">
        <f>IF(Tabelle2[[#This Row],[Kalorien '[kcal/100g']]]/100&lt;&gt;0,Tabelle2[[#This Row],[Kalorien '[kcal/100g']]]/100,"")</f>
        <v/>
      </c>
      <c r="N194" s="1" t="str">
        <f>IF(Tabelle2[[#This Row],[Eiweiß '[g/100g']]]/100&lt;&gt;0,Tabelle2[[#This Row],[Eiweiß '[g/100g']]]/100,"")</f>
        <v/>
      </c>
      <c r="O194" s="6"/>
      <c r="P194" s="6"/>
    </row>
    <row r="195" spans="5:16" x14ac:dyDescent="0.55000000000000004">
      <c r="E195" s="5"/>
      <c r="K195" s="12" t="str">
        <f>IFERROR(Tabelle2[[#This Row],[Preis '[€']]]/(Tabelle2[[#This Row],[Menge '[g']]]),"")</f>
        <v/>
      </c>
      <c r="L195" s="12" t="str">
        <f>IFERROR(Tabelle2[[#This Row],[Preis '[€']]]/(Tabelle2[[#This Row],[Menge '[g']]]*Tabelle2[[#This Row],[Eiweiß '[g/100g']]]/100),"")</f>
        <v/>
      </c>
      <c r="M195" s="2" t="str">
        <f>IF(Tabelle2[[#This Row],[Kalorien '[kcal/100g']]]/100&lt;&gt;0,Tabelle2[[#This Row],[Kalorien '[kcal/100g']]]/100,"")</f>
        <v/>
      </c>
      <c r="N195" s="1" t="str">
        <f>IF(Tabelle2[[#This Row],[Eiweiß '[g/100g']]]/100&lt;&gt;0,Tabelle2[[#This Row],[Eiweiß '[g/100g']]]/100,"")</f>
        <v/>
      </c>
      <c r="O195" s="6"/>
      <c r="P195" s="6"/>
    </row>
    <row r="196" spans="5:16" x14ac:dyDescent="0.55000000000000004">
      <c r="E196" s="5"/>
      <c r="K196" s="12" t="str">
        <f>IFERROR(Tabelle2[[#This Row],[Preis '[€']]]/(Tabelle2[[#This Row],[Menge '[g']]]),"")</f>
        <v/>
      </c>
      <c r="L196" s="12" t="str">
        <f>IFERROR(Tabelle2[[#This Row],[Preis '[€']]]/(Tabelle2[[#This Row],[Menge '[g']]]*Tabelle2[[#This Row],[Eiweiß '[g/100g']]]/100),"")</f>
        <v/>
      </c>
      <c r="M196" s="2" t="str">
        <f>IF(Tabelle2[[#This Row],[Kalorien '[kcal/100g']]]/100&lt;&gt;0,Tabelle2[[#This Row],[Kalorien '[kcal/100g']]]/100,"")</f>
        <v/>
      </c>
      <c r="N196" s="1" t="str">
        <f>IF(Tabelle2[[#This Row],[Eiweiß '[g/100g']]]/100&lt;&gt;0,Tabelle2[[#This Row],[Eiweiß '[g/100g']]]/100,"")</f>
        <v/>
      </c>
      <c r="O196" s="6"/>
      <c r="P196" s="6"/>
    </row>
    <row r="197" spans="5:16" x14ac:dyDescent="0.55000000000000004">
      <c r="E197" s="5"/>
      <c r="K197" s="12" t="str">
        <f>IFERROR(Tabelle2[[#This Row],[Preis '[€']]]/(Tabelle2[[#This Row],[Menge '[g']]]),"")</f>
        <v/>
      </c>
      <c r="L197" s="12" t="str">
        <f>IFERROR(Tabelle2[[#This Row],[Preis '[€']]]/(Tabelle2[[#This Row],[Menge '[g']]]*Tabelle2[[#This Row],[Eiweiß '[g/100g']]]/100),"")</f>
        <v/>
      </c>
      <c r="M197" s="2" t="str">
        <f>IF(Tabelle2[[#This Row],[Kalorien '[kcal/100g']]]/100&lt;&gt;0,Tabelle2[[#This Row],[Kalorien '[kcal/100g']]]/100,"")</f>
        <v/>
      </c>
      <c r="N197" s="1" t="str">
        <f>IF(Tabelle2[[#This Row],[Eiweiß '[g/100g']]]/100&lt;&gt;0,Tabelle2[[#This Row],[Eiweiß '[g/100g']]]/100,"")</f>
        <v/>
      </c>
      <c r="O197" s="6"/>
      <c r="P197" s="6"/>
    </row>
    <row r="198" spans="5:16" x14ac:dyDescent="0.55000000000000004">
      <c r="E198" s="5"/>
      <c r="K198" s="12" t="str">
        <f>IFERROR(Tabelle2[[#This Row],[Preis '[€']]]/(Tabelle2[[#This Row],[Menge '[g']]]),"")</f>
        <v/>
      </c>
      <c r="L198" s="12" t="str">
        <f>IFERROR(Tabelle2[[#This Row],[Preis '[€']]]/(Tabelle2[[#This Row],[Menge '[g']]]*Tabelle2[[#This Row],[Eiweiß '[g/100g']]]/100),"")</f>
        <v/>
      </c>
      <c r="M198" s="2" t="str">
        <f>IF(Tabelle2[[#This Row],[Kalorien '[kcal/100g']]]/100&lt;&gt;0,Tabelle2[[#This Row],[Kalorien '[kcal/100g']]]/100,"")</f>
        <v/>
      </c>
      <c r="N198" s="1" t="str">
        <f>IF(Tabelle2[[#This Row],[Eiweiß '[g/100g']]]/100&lt;&gt;0,Tabelle2[[#This Row],[Eiweiß '[g/100g']]]/100,"")</f>
        <v/>
      </c>
      <c r="O198" s="6"/>
      <c r="P198" s="6"/>
    </row>
    <row r="199" spans="5:16" x14ac:dyDescent="0.55000000000000004">
      <c r="E199" s="5"/>
      <c r="K199" s="12" t="str">
        <f>IFERROR(Tabelle2[[#This Row],[Preis '[€']]]/(Tabelle2[[#This Row],[Menge '[g']]]),"")</f>
        <v/>
      </c>
      <c r="L199" s="12" t="str">
        <f>IFERROR(Tabelle2[[#This Row],[Preis '[€']]]/(Tabelle2[[#This Row],[Menge '[g']]]*Tabelle2[[#This Row],[Eiweiß '[g/100g']]]/100),"")</f>
        <v/>
      </c>
      <c r="M199" s="2" t="str">
        <f>IF(Tabelle2[[#This Row],[Kalorien '[kcal/100g']]]/100&lt;&gt;0,Tabelle2[[#This Row],[Kalorien '[kcal/100g']]]/100,"")</f>
        <v/>
      </c>
      <c r="N199" s="1" t="str">
        <f>IF(Tabelle2[[#This Row],[Eiweiß '[g/100g']]]/100&lt;&gt;0,Tabelle2[[#This Row],[Eiweiß '[g/100g']]]/100,"")</f>
        <v/>
      </c>
      <c r="O199" s="6"/>
      <c r="P199" s="6"/>
    </row>
    <row r="200" spans="5:16" x14ac:dyDescent="0.55000000000000004">
      <c r="E200" s="5"/>
      <c r="K200" s="12" t="str">
        <f>IFERROR(Tabelle2[[#This Row],[Preis '[€']]]/(Tabelle2[[#This Row],[Menge '[g']]]),"")</f>
        <v/>
      </c>
      <c r="L200" s="12" t="str">
        <f>IFERROR(Tabelle2[[#This Row],[Preis '[€']]]/(Tabelle2[[#This Row],[Menge '[g']]]*Tabelle2[[#This Row],[Eiweiß '[g/100g']]]/100),"")</f>
        <v/>
      </c>
      <c r="M200" s="2" t="str">
        <f>IF(Tabelle2[[#This Row],[Kalorien '[kcal/100g']]]/100&lt;&gt;0,Tabelle2[[#This Row],[Kalorien '[kcal/100g']]]/100,"")</f>
        <v/>
      </c>
      <c r="N200" s="1" t="str">
        <f>IF(Tabelle2[[#This Row],[Eiweiß '[g/100g']]]/100&lt;&gt;0,Tabelle2[[#This Row],[Eiweiß '[g/100g']]]/100,"")</f>
        <v/>
      </c>
      <c r="O200" s="6"/>
      <c r="P200" s="6"/>
    </row>
    <row r="201" spans="5:16" x14ac:dyDescent="0.55000000000000004">
      <c r="E201" s="5"/>
      <c r="K201" s="12" t="str">
        <f>IFERROR(Tabelle2[[#This Row],[Preis '[€']]]/(Tabelle2[[#This Row],[Menge '[g']]]),"")</f>
        <v/>
      </c>
      <c r="L201" s="12" t="str">
        <f>IFERROR(Tabelle2[[#This Row],[Preis '[€']]]/(Tabelle2[[#This Row],[Menge '[g']]]*Tabelle2[[#This Row],[Eiweiß '[g/100g']]]/100),"")</f>
        <v/>
      </c>
      <c r="M201" s="2" t="str">
        <f>IF(Tabelle2[[#This Row],[Kalorien '[kcal/100g']]]/100&lt;&gt;0,Tabelle2[[#This Row],[Kalorien '[kcal/100g']]]/100,"")</f>
        <v/>
      </c>
      <c r="N201" s="1" t="str">
        <f>IF(Tabelle2[[#This Row],[Eiweiß '[g/100g']]]/100&lt;&gt;0,Tabelle2[[#This Row],[Eiweiß '[g/100g']]]/100,"")</f>
        <v/>
      </c>
      <c r="O201" s="6"/>
      <c r="P201" s="6"/>
    </row>
    <row r="202" spans="5:16" x14ac:dyDescent="0.55000000000000004">
      <c r="E202" s="5"/>
      <c r="K202" s="12" t="str">
        <f>IFERROR(Tabelle2[[#This Row],[Preis '[€']]]/(Tabelle2[[#This Row],[Menge '[g']]]),"")</f>
        <v/>
      </c>
      <c r="L202" s="12" t="str">
        <f>IFERROR(Tabelle2[[#This Row],[Preis '[€']]]/(Tabelle2[[#This Row],[Menge '[g']]]*Tabelle2[[#This Row],[Eiweiß '[g/100g']]]/100),"")</f>
        <v/>
      </c>
      <c r="M202" s="2" t="str">
        <f>IF(Tabelle2[[#This Row],[Kalorien '[kcal/100g']]]/100&lt;&gt;0,Tabelle2[[#This Row],[Kalorien '[kcal/100g']]]/100,"")</f>
        <v/>
      </c>
      <c r="N202" s="1" t="str">
        <f>IF(Tabelle2[[#This Row],[Eiweiß '[g/100g']]]/100&lt;&gt;0,Tabelle2[[#This Row],[Eiweiß '[g/100g']]]/100,"")</f>
        <v/>
      </c>
      <c r="O202" s="6"/>
      <c r="P202" s="6"/>
    </row>
    <row r="203" spans="5:16" x14ac:dyDescent="0.55000000000000004">
      <c r="E203" s="5"/>
      <c r="K203" s="12" t="str">
        <f>IFERROR(Tabelle2[[#This Row],[Preis '[€']]]/(Tabelle2[[#This Row],[Menge '[g']]]),"")</f>
        <v/>
      </c>
      <c r="L203" s="12" t="str">
        <f>IFERROR(Tabelle2[[#This Row],[Preis '[€']]]/(Tabelle2[[#This Row],[Menge '[g']]]*Tabelle2[[#This Row],[Eiweiß '[g/100g']]]/100),"")</f>
        <v/>
      </c>
      <c r="M203" s="2" t="str">
        <f>IF(Tabelle2[[#This Row],[Kalorien '[kcal/100g']]]/100&lt;&gt;0,Tabelle2[[#This Row],[Kalorien '[kcal/100g']]]/100,"")</f>
        <v/>
      </c>
      <c r="N203" s="1" t="str">
        <f>IF(Tabelle2[[#This Row],[Eiweiß '[g/100g']]]/100&lt;&gt;0,Tabelle2[[#This Row],[Eiweiß '[g/100g']]]/100,"")</f>
        <v/>
      </c>
      <c r="O203" s="6"/>
      <c r="P203" s="6"/>
    </row>
    <row r="204" spans="5:16" x14ac:dyDescent="0.55000000000000004">
      <c r="E204" s="5"/>
      <c r="K204" s="12" t="str">
        <f>IFERROR(Tabelle2[[#This Row],[Preis '[€']]]/(Tabelle2[[#This Row],[Menge '[g']]]),"")</f>
        <v/>
      </c>
      <c r="L204" s="12" t="str">
        <f>IFERROR(Tabelle2[[#This Row],[Preis '[€']]]/(Tabelle2[[#This Row],[Menge '[g']]]*Tabelle2[[#This Row],[Eiweiß '[g/100g']]]/100),"")</f>
        <v/>
      </c>
      <c r="M204" s="2" t="str">
        <f>IF(Tabelle2[[#This Row],[Kalorien '[kcal/100g']]]/100&lt;&gt;0,Tabelle2[[#This Row],[Kalorien '[kcal/100g']]]/100,"")</f>
        <v/>
      </c>
      <c r="N204" s="1" t="str">
        <f>IF(Tabelle2[[#This Row],[Eiweiß '[g/100g']]]/100&lt;&gt;0,Tabelle2[[#This Row],[Eiweiß '[g/100g']]]/100,"")</f>
        <v/>
      </c>
      <c r="O204" s="6"/>
      <c r="P204" s="6"/>
    </row>
  </sheetData>
  <mergeCells count="4">
    <mergeCell ref="A4:F4"/>
    <mergeCell ref="G4:J4"/>
    <mergeCell ref="K4:N4"/>
    <mergeCell ref="A1:P3"/>
  </mergeCells>
  <phoneticPr fontId="2" type="noConversion"/>
  <conditionalFormatting sqref="K6:K20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:L20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:M20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20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Input</vt:lpstr>
      <vt:lpstr>Meal 1</vt:lpstr>
      <vt:lpstr>Meal 2</vt:lpstr>
      <vt:lpstr>Meal 3</vt:lpstr>
      <vt:lpstr>Meal 4</vt:lpstr>
      <vt:lpstr>Zutaten-Datenbank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Hipp</dc:creator>
  <cp:lastModifiedBy>Hannes Hipp</cp:lastModifiedBy>
  <dcterms:created xsi:type="dcterms:W3CDTF">2022-05-25T07:34:58Z</dcterms:created>
  <dcterms:modified xsi:type="dcterms:W3CDTF">2025-10-30T12:08:42Z</dcterms:modified>
</cp:coreProperties>
</file>