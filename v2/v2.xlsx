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0679db1062347a/Privat/Meal-Prep/"/>
    </mc:Choice>
  </mc:AlternateContent>
  <xr:revisionPtr revIDLastSave="27" documentId="8_{3715753C-4BAE-472E-8986-276D8E271115}" xr6:coauthVersionLast="47" xr6:coauthVersionMax="47" xr10:uidLastSave="{3DD71255-062E-4B65-88D6-C86A723A0383}"/>
  <bookViews>
    <workbookView xWindow="3810" yWindow="840" windowWidth="16458" windowHeight="11478" xr2:uid="{C9D96BD4-42CB-48FB-8B83-92D34BC08BE1}"/>
  </bookViews>
  <sheets>
    <sheet name="Tabelle1" sheetId="1" r:id="rId1"/>
    <sheet name="Shak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" l="1"/>
  <c r="M15" i="2"/>
  <c r="L15" i="2"/>
  <c r="U15" i="2" s="1"/>
  <c r="K15" i="2"/>
  <c r="T15" i="2" s="1"/>
  <c r="J15" i="2"/>
  <c r="S15" i="2" s="1"/>
  <c r="I15" i="2"/>
  <c r="R15" i="2" s="1"/>
  <c r="H15" i="2"/>
  <c r="Q15" i="2" s="1"/>
  <c r="N5" i="2"/>
  <c r="N6" i="2"/>
  <c r="N7" i="2"/>
  <c r="N8" i="2"/>
  <c r="N9" i="2"/>
  <c r="N10" i="2"/>
  <c r="N11" i="2"/>
  <c r="N12" i="2"/>
  <c r="N13" i="2"/>
  <c r="N14" i="2"/>
  <c r="N16" i="2"/>
  <c r="N4" i="2"/>
  <c r="M5" i="2"/>
  <c r="M6" i="2"/>
  <c r="M7" i="2"/>
  <c r="M8" i="2"/>
  <c r="M9" i="2"/>
  <c r="M10" i="2"/>
  <c r="M11" i="2"/>
  <c r="M12" i="2"/>
  <c r="M13" i="2"/>
  <c r="M14" i="2"/>
  <c r="M16" i="2"/>
  <c r="M4" i="2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61" i="1"/>
  <c r="G59" i="1"/>
  <c r="G60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1" i="1"/>
  <c r="F59" i="1"/>
  <c r="F60" i="1"/>
  <c r="L16" i="2" l="1"/>
  <c r="U16" i="2" s="1"/>
  <c r="K16" i="2"/>
  <c r="T16" i="2" s="1"/>
  <c r="J16" i="2"/>
  <c r="S16" i="2" s="1"/>
  <c r="I16" i="2"/>
  <c r="R16" i="2" s="1"/>
  <c r="H16" i="2"/>
  <c r="Q16" i="2" s="1"/>
  <c r="L5" i="2" l="1"/>
  <c r="U5" i="2" s="1"/>
  <c r="L6" i="2"/>
  <c r="U6" i="2" s="1"/>
  <c r="L7" i="2"/>
  <c r="U7" i="2" s="1"/>
  <c r="L8" i="2"/>
  <c r="U8" i="2" s="1"/>
  <c r="L9" i="2"/>
  <c r="U9" i="2" s="1"/>
  <c r="L10" i="2"/>
  <c r="U10" i="2" s="1"/>
  <c r="L11" i="2"/>
  <c r="U11" i="2" s="1"/>
  <c r="L12" i="2"/>
  <c r="U12" i="2" s="1"/>
  <c r="L13" i="2"/>
  <c r="U13" i="2" s="1"/>
  <c r="L14" i="2"/>
  <c r="U14" i="2" s="1"/>
  <c r="L4" i="2"/>
  <c r="U4" i="2" s="1"/>
  <c r="K4" i="2"/>
  <c r="T4" i="2" s="1"/>
  <c r="I4" i="2"/>
  <c r="R4" i="2" s="1"/>
  <c r="J4" i="2"/>
  <c r="S4" i="2" s="1"/>
  <c r="I5" i="2"/>
  <c r="R5" i="2" s="1"/>
  <c r="J5" i="2"/>
  <c r="S5" i="2" s="1"/>
  <c r="K5" i="2"/>
  <c r="T5" i="2" s="1"/>
  <c r="I6" i="2"/>
  <c r="R6" i="2" s="1"/>
  <c r="J6" i="2"/>
  <c r="S6" i="2" s="1"/>
  <c r="K6" i="2"/>
  <c r="T6" i="2" s="1"/>
  <c r="I7" i="2"/>
  <c r="R7" i="2" s="1"/>
  <c r="J7" i="2"/>
  <c r="S7" i="2" s="1"/>
  <c r="K7" i="2"/>
  <c r="T7" i="2" s="1"/>
  <c r="I8" i="2"/>
  <c r="R8" i="2" s="1"/>
  <c r="J8" i="2"/>
  <c r="S8" i="2" s="1"/>
  <c r="K8" i="2"/>
  <c r="T8" i="2" s="1"/>
  <c r="I9" i="2"/>
  <c r="R9" i="2" s="1"/>
  <c r="J9" i="2"/>
  <c r="S9" i="2" s="1"/>
  <c r="K9" i="2"/>
  <c r="T9" i="2" s="1"/>
  <c r="I10" i="2"/>
  <c r="R10" i="2" s="1"/>
  <c r="J10" i="2"/>
  <c r="S10" i="2" s="1"/>
  <c r="K10" i="2"/>
  <c r="T10" i="2" s="1"/>
  <c r="I11" i="2"/>
  <c r="R11" i="2" s="1"/>
  <c r="J11" i="2"/>
  <c r="S11" i="2" s="1"/>
  <c r="K11" i="2"/>
  <c r="T11" i="2" s="1"/>
  <c r="I12" i="2"/>
  <c r="R12" i="2" s="1"/>
  <c r="J12" i="2"/>
  <c r="S12" i="2" s="1"/>
  <c r="K12" i="2"/>
  <c r="T12" i="2" s="1"/>
  <c r="I13" i="2"/>
  <c r="R13" i="2" s="1"/>
  <c r="J13" i="2"/>
  <c r="S13" i="2" s="1"/>
  <c r="K13" i="2"/>
  <c r="T13" i="2" s="1"/>
  <c r="I14" i="2"/>
  <c r="R14" i="2" s="1"/>
  <c r="J14" i="2"/>
  <c r="S14" i="2" s="1"/>
  <c r="K14" i="2"/>
  <c r="T14" i="2" s="1"/>
  <c r="H5" i="2"/>
  <c r="Q5" i="2" s="1"/>
  <c r="H6" i="2"/>
  <c r="Q6" i="2" s="1"/>
  <c r="H7" i="2"/>
  <c r="Q7" i="2" s="1"/>
  <c r="H8" i="2"/>
  <c r="Q8" i="2" s="1"/>
  <c r="H9" i="2"/>
  <c r="Q9" i="2" s="1"/>
  <c r="H10" i="2"/>
  <c r="Q10" i="2" s="1"/>
  <c r="H11" i="2"/>
  <c r="Q11" i="2" s="1"/>
  <c r="H12" i="2"/>
  <c r="Q12" i="2" s="1"/>
  <c r="H13" i="2"/>
  <c r="Q13" i="2" s="1"/>
  <c r="H14" i="2"/>
  <c r="Q14" i="2" s="1"/>
  <c r="H4" i="2"/>
  <c r="Q4" i="2" s="1"/>
  <c r="S17" i="2" l="1"/>
  <c r="R17" i="2"/>
  <c r="D4" i="1" s="1"/>
  <c r="Q17" i="2"/>
  <c r="C4" i="1" s="1"/>
  <c r="U17" i="2"/>
  <c r="G4" i="1" s="1"/>
  <c r="T17" i="2"/>
  <c r="F4" i="1" l="1"/>
  <c r="F6" i="1" s="1"/>
  <c r="E4" i="1"/>
  <c r="E6" i="1" s="1"/>
  <c r="G6" i="1"/>
  <c r="C6" i="1"/>
  <c r="D6" i="1"/>
  <c r="D7" i="1" l="1"/>
  <c r="E7" i="1"/>
  <c r="F7" i="1"/>
  <c r="C7" i="1" l="1"/>
</calcChain>
</file>

<file path=xl/sharedStrings.xml><?xml version="1.0" encoding="utf-8"?>
<sst xmlns="http://schemas.openxmlformats.org/spreadsheetml/2006/main" count="107" uniqueCount="72">
  <si>
    <t>Frühstück:</t>
  </si>
  <si>
    <t>Haferflocken</t>
  </si>
  <si>
    <t>Skyr</t>
  </si>
  <si>
    <t>Apfel</t>
  </si>
  <si>
    <t>Milch</t>
  </si>
  <si>
    <t>Mandeln</t>
  </si>
  <si>
    <t>Honig</t>
  </si>
  <si>
    <t>Portionen</t>
  </si>
  <si>
    <t>Mittagessen</t>
  </si>
  <si>
    <t>Hähnchenbrust</t>
  </si>
  <si>
    <t>Tomaten</t>
  </si>
  <si>
    <t>Butter</t>
  </si>
  <si>
    <t>Zwiebel</t>
  </si>
  <si>
    <t>Cashewnüsse</t>
  </si>
  <si>
    <t>Sahne</t>
  </si>
  <si>
    <t>Basmati-Reis</t>
  </si>
  <si>
    <t>Brokkoli</t>
  </si>
  <si>
    <t>Shake</t>
  </si>
  <si>
    <t>Shake Zutaten</t>
  </si>
  <si>
    <t>Makadamianüsse</t>
  </si>
  <si>
    <t>Hanfsamen</t>
  </si>
  <si>
    <t>Chiasamen</t>
  </si>
  <si>
    <t>Erdnussbutter</t>
  </si>
  <si>
    <t>Datteln</t>
  </si>
  <si>
    <t>kcal/g</t>
  </si>
  <si>
    <t>Granatapfelsaft</t>
  </si>
  <si>
    <t>Leinsamen</t>
  </si>
  <si>
    <t>Walnuss</t>
  </si>
  <si>
    <t>Kirsche</t>
  </si>
  <si>
    <t>Beeren(Er,Him,Bl,Hei)</t>
  </si>
  <si>
    <t>Paranuss</t>
  </si>
  <si>
    <t>Fett/100g</t>
  </si>
  <si>
    <t>carbs/100g</t>
  </si>
  <si>
    <t>Preis</t>
  </si>
  <si>
    <t>Package Size</t>
  </si>
  <si>
    <t>Menge</t>
  </si>
  <si>
    <t>kcal/100g</t>
  </si>
  <si>
    <t>prot/100g</t>
  </si>
  <si>
    <t>carbs g/g</t>
  </si>
  <si>
    <t>fett g/g</t>
  </si>
  <si>
    <t>prot g/g</t>
  </si>
  <si>
    <t>preis €/g</t>
  </si>
  <si>
    <t>kcal</t>
  </si>
  <si>
    <t>protein [g]</t>
  </si>
  <si>
    <t>fett [g]</t>
  </si>
  <si>
    <t xml:space="preserve">KH [g] </t>
  </si>
  <si>
    <t>Preis [€]</t>
  </si>
  <si>
    <t>Gesamt /d</t>
  </si>
  <si>
    <t>prot</t>
  </si>
  <si>
    <t>fett</t>
  </si>
  <si>
    <t>KH</t>
  </si>
  <si>
    <t>kosten</t>
  </si>
  <si>
    <t>Olivenöl</t>
  </si>
  <si>
    <t>Zutat</t>
  </si>
  <si>
    <t>Gewürze</t>
  </si>
  <si>
    <t>Blumenkohl</t>
  </si>
  <si>
    <t>Überall</t>
  </si>
  <si>
    <t>Netto, Lidl, REWE</t>
  </si>
  <si>
    <t>Lidl, REWE</t>
  </si>
  <si>
    <t>Andere</t>
  </si>
  <si>
    <t>REWE</t>
  </si>
  <si>
    <t>Online</t>
  </si>
  <si>
    <t>dm, REWE</t>
  </si>
  <si>
    <t>Haltbarkeit</t>
  </si>
  <si>
    <t>Packungsgröße</t>
  </si>
  <si>
    <t>Max. Anzahl an Packungen</t>
  </si>
  <si>
    <t>Wo einkaufen?</t>
  </si>
  <si>
    <t>Netto, Lidl, Rewe</t>
  </si>
  <si>
    <t>Tage bis Anbruch der nächsten Packung</t>
  </si>
  <si>
    <t>kcal macros</t>
  </si>
  <si>
    <t>kh score</t>
  </si>
  <si>
    <t>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</si>
</sst>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2" fontId="1" fillId="0" borderId="0" xfId="0" applyNumberFormat="1" applyFont="1"/>
  </cellXfs>
  <cellStyles count="1">
    <cellStyle name="Standard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3F-472D-8482-E8CCF89C8E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3F-472D-8482-E8CCF89C8E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3F-472D-8482-E8CCF89C8E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Tabelle1!$D$1:$F$1</c:f>
              <c:strCache>
                <c:ptCount val="3"/>
                <c:pt idx="0">
                  <c:v>prot</c:v>
                </c:pt>
                <c:pt idx="1">
                  <c:v>fett</c:v>
                </c:pt>
                <c:pt idx="2">
                  <c:v>KH</c:v>
                </c:pt>
              </c:strCache>
            </c:strRef>
          </c:cat>
          <c:val>
            <c:numRef>
              <c:f>Tabelle1!$D$7:$F$7</c:f>
              <c:numCache>
                <c:formatCode>General</c:formatCode>
                <c:ptCount val="3"/>
                <c:pt idx="0">
                  <c:v>614.0590760281101</c:v>
                </c:pt>
                <c:pt idx="1">
                  <c:v>1615.4444123669552</c:v>
                </c:pt>
                <c:pt idx="2">
                  <c:v>1181.2965116049345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D-46A0-B917-289BF5416A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779145</xdr:colOff>
      <xdr:row>2</xdr:row>
      <xdr:rowOff>19050</xdr:rowOff>
    </xdr:from>
    <xdr:to>
      <xdr:col>8</xdr:col>
      <xdr:colOff>769620</xdr:colOff>
      <xdr:row>22</xdr:row>
      <xdr:rowOff>85725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EA97CFD-CC96-2657-9056-0F38A074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C2556-1608-41F7-8FC5-D520749F01DE}" name="Tabelle1" displayName="Tabelle1" ref="A33:G61" totalsRowShown="0">
  <autoFilter ref="A33:G61" xr:uid="{C99C2556-1608-41F7-8FC5-D520749F01DE}"/>
  <sortState xmlns:xlrd2="http://schemas.microsoft.com/office/spreadsheetml/2017/richdata2" ref="A34:G61">
    <sortCondition descending="1" ref="F33:F61"/>
  </sortState>
  <tableColumns count="7">
    <tableColumn id="1" xr3:uid="{D848A12F-3EEE-47E3-BF65-87E092B73333}" name="Zutat"/>
    <tableColumn id="2" xr3:uid="{6F2005D4-FB2D-4384-88FC-CE718F4F0B34}" name="Menge"/>
    <tableColumn id="6" xr3:uid="{040C4C4E-17F9-497A-B843-EDBB1DA73C78}" name="Packungsgröße"/>
    <tableColumn id="3" xr3:uid="{FBF46CDD-1C82-473D-B435-C68E797CEAF2}" name="Haltbarkeit"/>
    <tableColumn id="5" xr3:uid="{309C6026-3C10-4BF6-BC85-94E67D4FBAC7}" name="Wo einkaufen?"/>
    <tableColumn id="7" xr3:uid="{2865D244-07DE-4D23-B4C1-12E2169F5ED4}" name="Max. Anzahl an Packungen" dataDxfId="1">
      <calculatedColumnFormula>(Tabelle1[[#This Row],[Haltbarkeit]]*7*Tabelle1[[#This Row],[Menge]])/Tabelle1[[#This Row],[Packungsgröße]]</calculatedColumnFormula>
    </tableColumn>
    <tableColumn id="8" xr3:uid="{713F0ADD-A270-4E8C-A955-8D17C5E74B36}" name="Tage bis Anbruch der nächsten Packung" dataDxfId="0">
      <calculatedColumnFormula>Tabelle1[[#This Row],[Packungsgröße]]/Tabelle1[[#This Row],[Menge]]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9E0E-161D-42F4-8E4B-9C3E222DF17C}">
  <dimension ref="A1:G61"/>
  <sheetViews>
    <sheetView tabSelected="1" zoomScale="130" zoomScaleNormal="130" workbookViewId="0">
      <selection activeCell="C4" sqref="C4"/>
    </sheetView>
  </sheetViews>
  <sheetFormatPr baseColWidth="10" defaultRowHeight="14.4" x14ac:dyDescent="0.55000000000000004"/>
  <cols>
    <col min="1" max="1" width="19.5234375" customWidth="1"/>
    <col min="3" max="3" width="15.3125" customWidth="1"/>
    <col min="4" max="4" width="16.734375" customWidth="1"/>
    <col min="5" max="5" width="17.3671875" customWidth="1"/>
    <col min="6" max="6" width="18.83984375" customWidth="1"/>
    <col min="7" max="7" width="24.68359375" bestFit="1" customWidth="1"/>
    <col min="8" max="8" width="36" customWidth="1"/>
  </cols>
  <sheetData>
    <row r="1" spans="1:7" x14ac:dyDescent="0.55000000000000004">
      <c r="B1" t="s">
        <v>7</v>
      </c>
      <c r="C1" t="s">
        <v>42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55000000000000004">
      <c r="A2" s="1" t="s">
        <v>0</v>
      </c>
      <c r="B2">
        <v>6</v>
      </c>
      <c r="C2">
        <v>980</v>
      </c>
      <c r="D2" s="1">
        <v>58</v>
      </c>
      <c r="E2">
        <v>36.4</v>
      </c>
      <c r="F2">
        <v>108.2</v>
      </c>
      <c r="G2">
        <v>2.1800000000000002</v>
      </c>
    </row>
    <row r="3" spans="1:7" x14ac:dyDescent="0.55000000000000004">
      <c r="A3" s="1" t="s">
        <v>8</v>
      </c>
      <c r="B3">
        <v>5</v>
      </c>
      <c r="C3">
        <v>1240</v>
      </c>
      <c r="D3">
        <v>51</v>
      </c>
      <c r="E3">
        <v>57.6</v>
      </c>
      <c r="F3">
        <v>59</v>
      </c>
      <c r="G3">
        <v>5.05</v>
      </c>
    </row>
    <row r="4" spans="1:7" x14ac:dyDescent="0.55000000000000004">
      <c r="A4" s="1" t="s">
        <v>17</v>
      </c>
      <c r="B4">
        <v>6</v>
      </c>
      <c r="C4" s="2">
        <f>Shake!Q17</f>
        <v>1190.8000000000002</v>
      </c>
      <c r="D4" s="2">
        <f>Shake!R17</f>
        <v>32.247000000000007</v>
      </c>
      <c r="E4" s="2">
        <f>Shake!S17</f>
        <v>71.150000000000006</v>
      </c>
      <c r="F4" s="2">
        <f>Shake!T17</f>
        <v>104.524</v>
      </c>
      <c r="G4" s="2">
        <f>Shake!U17</f>
        <v>2.7217857142857143</v>
      </c>
    </row>
    <row r="6" spans="1:7" x14ac:dyDescent="0.55000000000000004">
      <c r="B6" t="s">
        <v>47</v>
      </c>
      <c r="C6" s="4">
        <f>C2+C3+C4</f>
        <v>3410.8</v>
      </c>
      <c r="D6" s="4">
        <f>D2+D3+D4</f>
        <v>141.24700000000001</v>
      </c>
      <c r="E6" s="4">
        <f>E2+E3+E4</f>
        <v>165.15</v>
      </c>
      <c r="F6" s="4">
        <f>F2+F3+F4</f>
        <v>271.72399999999999</v>
      </c>
      <c r="G6" s="7">
        <f>G2+G3+G4</f>
        <v>9.9517857142857142</v>
      </c>
    </row>
    <row r="7" spans="1:7" x14ac:dyDescent="0.55000000000000004">
      <c r="B7" t="s">
        <v>69</v>
      </c>
      <c r="C7" s="6">
        <f>SUM(D7:F7)</f>
        <v>3410.7999999999997</v>
      </c>
      <c r="D7">
        <f>D6*($C$6/($D$6+$E$6*2.25+$F$6))</f>
        <v>614.0590760281101</v>
      </c>
      <c r="E7">
        <f>E6*($C$6*2.25/($D$6+$E$6*2.25+$F$6))</f>
        <v>1615.4444123669552</v>
      </c>
      <c r="F7">
        <f>F6*($C$6/($D$6+$E$6*2.25+$F$6))</f>
        <v>1181.2965116049345</v>
      </c>
    </row>
    <row r="32" spans="2:7" x14ac:dyDescent="0.55000000000000004">
      <c r="B32" s="4"/>
      <c r="C32" s="4"/>
      <c r="D32" s="4"/>
      <c r="E32" s="4"/>
      <c r="F32" s="4"/>
      <c r="G32" s="4"/>
    </row>
    <row r="33" spans="1:7" x14ac:dyDescent="0.55000000000000004">
      <c r="A33" t="s">
        <v>53</v>
      </c>
      <c r="B33" t="s">
        <v>35</v>
      </c>
      <c r="C33" t="s">
        <v>64</v>
      </c>
      <c r="D33" t="s">
        <v>63</v>
      </c>
      <c r="E33" t="s">
        <v>66</v>
      </c>
      <c r="F33" t="s">
        <v>65</v>
      </c>
      <c r="G33" t="s">
        <v>68</v>
      </c>
    </row>
    <row r="34" spans="1:7" x14ac:dyDescent="0.55000000000000004">
      <c r="A34" s="1" t="s">
        <v>6</v>
      </c>
      <c r="B34">
        <v>25</v>
      </c>
      <c r="C34">
        <v>500</v>
      </c>
      <c r="D34">
        <v>1000</v>
      </c>
      <c r="E34" t="s">
        <v>57</v>
      </c>
      <c r="F34" s="2">
        <f>((Tabelle1[[#This Row],[Haltbarkeit]]*7*Tabelle1[[#This Row],[Menge]])/Tabelle1[[#This Row],[Packungsgröße]])*(Tabelle1[[#This Row],[Packungsgröße]]/Tabelle1[[#This Row],[Menge]])</f>
        <v>7000</v>
      </c>
      <c r="G34" s="2">
        <f>Tabelle1[[#This Row],[Packungsgröße]]/Tabelle1[[#This Row],[Menge]]</f>
        <v>20</v>
      </c>
    </row>
    <row r="35" spans="1:7" x14ac:dyDescent="0.55000000000000004">
      <c r="A35" s="1" t="s">
        <v>10</v>
      </c>
      <c r="B35">
        <v>160</v>
      </c>
      <c r="C35">
        <v>400</v>
      </c>
      <c r="D35">
        <v>100</v>
      </c>
      <c r="E35" t="s">
        <v>57</v>
      </c>
      <c r="F35" s="2">
        <f>(Tabelle1[[#This Row],[Haltbarkeit]]*7*Tabelle1[[#This Row],[Menge]])/Tabelle1[[#This Row],[Packungsgröße]]</f>
        <v>280</v>
      </c>
      <c r="G35" s="2">
        <f>Tabelle1[[#This Row],[Packungsgröße]]/Tabelle1[[#This Row],[Menge]]</f>
        <v>2.5</v>
      </c>
    </row>
    <row r="36" spans="1:7" x14ac:dyDescent="0.55000000000000004">
      <c r="A36" t="s">
        <v>27</v>
      </c>
      <c r="B36">
        <v>40</v>
      </c>
      <c r="C36">
        <v>150</v>
      </c>
      <c r="D36">
        <v>52</v>
      </c>
      <c r="E36" t="s">
        <v>57</v>
      </c>
      <c r="F36" s="2">
        <f>(Tabelle1[[#This Row],[Haltbarkeit]]*7*Tabelle1[[#This Row],[Menge]])/Tabelle1[[#This Row],[Packungsgröße]]</f>
        <v>97.066666666666663</v>
      </c>
      <c r="G36" s="2">
        <f>Tabelle1[[#This Row],[Packungsgröße]]/Tabelle1[[#This Row],[Menge]]</f>
        <v>3.75</v>
      </c>
    </row>
    <row r="37" spans="1:7" x14ac:dyDescent="0.55000000000000004">
      <c r="A37" s="1" t="s">
        <v>1</v>
      </c>
      <c r="B37">
        <v>133</v>
      </c>
      <c r="C37">
        <v>500</v>
      </c>
      <c r="D37">
        <v>52</v>
      </c>
      <c r="E37" t="s">
        <v>56</v>
      </c>
      <c r="F37" s="2">
        <f>(Tabelle1[[#This Row],[Haltbarkeit]]*7*Tabelle1[[#This Row],[Menge]])/Tabelle1[[#This Row],[Packungsgröße]]</f>
        <v>96.823999999999998</v>
      </c>
      <c r="G37" s="2">
        <f>Tabelle1[[#This Row],[Packungsgröße]]/Tabelle1[[#This Row],[Menge]]</f>
        <v>3.7593984962406015</v>
      </c>
    </row>
    <row r="38" spans="1:7" x14ac:dyDescent="0.55000000000000004">
      <c r="A38" s="1" t="s">
        <v>15</v>
      </c>
      <c r="B38">
        <v>81.8</v>
      </c>
      <c r="C38">
        <v>500</v>
      </c>
      <c r="D38">
        <v>52</v>
      </c>
      <c r="E38" t="s">
        <v>58</v>
      </c>
      <c r="F38" s="2">
        <f>(Tabelle1[[#This Row],[Haltbarkeit]]*7*Tabelle1[[#This Row],[Menge]])/Tabelle1[[#This Row],[Packungsgröße]]</f>
        <v>59.550400000000003</v>
      </c>
      <c r="G38" s="2">
        <f>Tabelle1[[#This Row],[Packungsgröße]]/Tabelle1[[#This Row],[Menge]]</f>
        <v>6.1124694376528117</v>
      </c>
    </row>
    <row r="39" spans="1:7" x14ac:dyDescent="0.55000000000000004">
      <c r="A39" t="s">
        <v>22</v>
      </c>
      <c r="B39">
        <v>30</v>
      </c>
      <c r="C39">
        <v>250</v>
      </c>
      <c r="D39">
        <v>52</v>
      </c>
      <c r="E39" t="s">
        <v>60</v>
      </c>
      <c r="F39" s="2">
        <f>(Tabelle1[[#This Row],[Haltbarkeit]]*7*Tabelle1[[#This Row],[Menge]])/Tabelle1[[#This Row],[Packungsgröße]]</f>
        <v>43.68</v>
      </c>
      <c r="G39" s="2">
        <f>Tabelle1[[#This Row],[Packungsgröße]]/Tabelle1[[#This Row],[Menge]]</f>
        <v>8.3333333333333339</v>
      </c>
    </row>
    <row r="40" spans="1:7" x14ac:dyDescent="0.55000000000000004">
      <c r="A40" s="1" t="s">
        <v>13</v>
      </c>
      <c r="B40">
        <v>61</v>
      </c>
      <c r="C40">
        <v>250</v>
      </c>
      <c r="D40">
        <v>24</v>
      </c>
      <c r="E40" t="s">
        <v>58</v>
      </c>
      <c r="F40" s="2">
        <f>(Tabelle1[[#This Row],[Haltbarkeit]]*7*Tabelle1[[#This Row],[Menge]])/Tabelle1[[#This Row],[Packungsgröße]]</f>
        <v>40.991999999999997</v>
      </c>
      <c r="G40" s="2">
        <f>Tabelle1[[#This Row],[Packungsgröße]]/Tabelle1[[#This Row],[Menge]]</f>
        <v>4.0983606557377046</v>
      </c>
    </row>
    <row r="41" spans="1:7" x14ac:dyDescent="0.55000000000000004">
      <c r="A41" s="1" t="s">
        <v>5</v>
      </c>
      <c r="B41">
        <v>50</v>
      </c>
      <c r="C41">
        <v>150</v>
      </c>
      <c r="D41">
        <v>12</v>
      </c>
      <c r="E41" t="s">
        <v>57</v>
      </c>
      <c r="F41" s="2">
        <f>(Tabelle1[[#This Row],[Haltbarkeit]]*7*Tabelle1[[#This Row],[Menge]])/Tabelle1[[#This Row],[Packungsgröße]]</f>
        <v>28</v>
      </c>
      <c r="G41" s="2">
        <f>Tabelle1[[#This Row],[Packungsgröße]]/Tabelle1[[#This Row],[Menge]]</f>
        <v>3</v>
      </c>
    </row>
    <row r="42" spans="1:7" x14ac:dyDescent="0.55000000000000004">
      <c r="A42" t="s">
        <v>19</v>
      </c>
      <c r="B42">
        <v>40</v>
      </c>
      <c r="C42">
        <v>1000</v>
      </c>
      <c r="D42">
        <v>52</v>
      </c>
      <c r="E42" t="s">
        <v>61</v>
      </c>
      <c r="F42" s="2">
        <f>(Tabelle1[[#This Row],[Haltbarkeit]]*7*Tabelle1[[#This Row],[Menge]])/Tabelle1[[#This Row],[Packungsgröße]]</f>
        <v>14.56</v>
      </c>
      <c r="G42" s="2">
        <f>Tabelle1[[#This Row],[Packungsgröße]]/Tabelle1[[#This Row],[Menge]]</f>
        <v>25</v>
      </c>
    </row>
    <row r="43" spans="1:7" x14ac:dyDescent="0.55000000000000004">
      <c r="A43" t="s">
        <v>52</v>
      </c>
      <c r="B43">
        <v>30</v>
      </c>
      <c r="C43">
        <v>750</v>
      </c>
      <c r="D43">
        <v>52</v>
      </c>
      <c r="E43" t="s">
        <v>57</v>
      </c>
      <c r="F43" s="2">
        <f>(Tabelle1[[#This Row],[Haltbarkeit]]*7*Tabelle1[[#This Row],[Menge]])/Tabelle1[[#This Row],[Packungsgröße]]</f>
        <v>14.56</v>
      </c>
      <c r="G43" s="2">
        <f>Tabelle1[[#This Row],[Packungsgröße]]/Tabelle1[[#This Row],[Menge]]</f>
        <v>25</v>
      </c>
    </row>
    <row r="44" spans="1:7" x14ac:dyDescent="0.55000000000000004">
      <c r="A44" s="1" t="s">
        <v>11</v>
      </c>
      <c r="B44">
        <v>23.4</v>
      </c>
      <c r="C44">
        <v>250</v>
      </c>
      <c r="D44">
        <v>12</v>
      </c>
      <c r="E44" t="s">
        <v>57</v>
      </c>
      <c r="F44" s="2">
        <f>(Tabelle1[[#This Row],[Haltbarkeit]]*7*Tabelle1[[#This Row],[Menge]])/Tabelle1[[#This Row],[Packungsgröße]]</f>
        <v>7.8624000000000001</v>
      </c>
      <c r="G44" s="2">
        <f>Tabelle1[[#This Row],[Packungsgröße]]/Tabelle1[[#This Row],[Menge]]</f>
        <v>10.683760683760685</v>
      </c>
    </row>
    <row r="45" spans="1:7" x14ac:dyDescent="0.55000000000000004">
      <c r="A45" t="s">
        <v>29</v>
      </c>
      <c r="B45">
        <v>15</v>
      </c>
      <c r="C45">
        <v>750</v>
      </c>
      <c r="D45">
        <v>52</v>
      </c>
      <c r="E45" t="s">
        <v>57</v>
      </c>
      <c r="F45" s="2">
        <f>(Tabelle1[[#This Row],[Haltbarkeit]]*7*Tabelle1[[#This Row],[Menge]])/Tabelle1[[#This Row],[Packungsgröße]]</f>
        <v>7.28</v>
      </c>
      <c r="G45" s="2">
        <f>Tabelle1[[#This Row],[Packungsgröße]]/Tabelle1[[#This Row],[Menge]]</f>
        <v>50</v>
      </c>
    </row>
    <row r="46" spans="1:7" x14ac:dyDescent="0.55000000000000004">
      <c r="A46" t="s">
        <v>28</v>
      </c>
      <c r="B46">
        <v>6</v>
      </c>
      <c r="C46">
        <v>300</v>
      </c>
      <c r="D46">
        <v>52</v>
      </c>
      <c r="E46" t="s">
        <v>60</v>
      </c>
      <c r="F46" s="2">
        <f>(Tabelle1[[#This Row],[Haltbarkeit]]*7*Tabelle1[[#This Row],[Menge]])/Tabelle1[[#This Row],[Packungsgröße]]</f>
        <v>7.28</v>
      </c>
      <c r="G46" s="2">
        <f>Tabelle1[[#This Row],[Packungsgröße]]/Tabelle1[[#This Row],[Menge]]</f>
        <v>50</v>
      </c>
    </row>
    <row r="47" spans="1:7" x14ac:dyDescent="0.55000000000000004">
      <c r="A47" s="1" t="s">
        <v>2</v>
      </c>
      <c r="B47">
        <v>250</v>
      </c>
      <c r="C47">
        <v>500</v>
      </c>
      <c r="D47">
        <v>2</v>
      </c>
      <c r="E47" t="s">
        <v>57</v>
      </c>
      <c r="F47" s="2">
        <f>(Tabelle1[[#This Row],[Haltbarkeit]]*7*Tabelle1[[#This Row],[Menge]])/Tabelle1[[#This Row],[Packungsgröße]]</f>
        <v>7</v>
      </c>
      <c r="G47" s="2">
        <f>Tabelle1[[#This Row],[Packungsgröße]]/Tabelle1[[#This Row],[Menge]]</f>
        <v>2</v>
      </c>
    </row>
    <row r="48" spans="1:7" x14ac:dyDescent="0.55000000000000004">
      <c r="A48" s="1" t="s">
        <v>54</v>
      </c>
      <c r="B48">
        <v>1</v>
      </c>
      <c r="C48">
        <v>100</v>
      </c>
      <c r="D48">
        <v>52</v>
      </c>
      <c r="E48" t="s">
        <v>59</v>
      </c>
      <c r="F48" s="2">
        <f>(Tabelle1[[#This Row],[Haltbarkeit]]*7*Tabelle1[[#This Row],[Menge]])/Tabelle1[[#This Row],[Packungsgröße]]</f>
        <v>3.64</v>
      </c>
      <c r="G48" s="2">
        <f>Tabelle1[[#This Row],[Packungsgröße]]/Tabelle1[[#This Row],[Menge]]</f>
        <v>100</v>
      </c>
    </row>
    <row r="49" spans="1:7" x14ac:dyDescent="0.55000000000000004">
      <c r="A49" t="s">
        <v>30</v>
      </c>
      <c r="B49">
        <v>2</v>
      </c>
      <c r="C49">
        <v>200</v>
      </c>
      <c r="D49">
        <v>52</v>
      </c>
      <c r="E49" t="s">
        <v>62</v>
      </c>
      <c r="F49" s="2">
        <f>(Tabelle1[[#This Row],[Haltbarkeit]]*7*Tabelle1[[#This Row],[Menge]])/Tabelle1[[#This Row],[Packungsgröße]]</f>
        <v>3.64</v>
      </c>
      <c r="G49" s="2">
        <f>Tabelle1[[#This Row],[Packungsgröße]]/Tabelle1[[#This Row],[Menge]]</f>
        <v>100</v>
      </c>
    </row>
    <row r="50" spans="1:7" x14ac:dyDescent="0.55000000000000004">
      <c r="A50" t="s">
        <v>20</v>
      </c>
      <c r="B50">
        <v>4</v>
      </c>
      <c r="C50">
        <v>200</v>
      </c>
      <c r="D50">
        <v>24</v>
      </c>
      <c r="E50" t="s">
        <v>62</v>
      </c>
      <c r="F50" s="2">
        <f>(Tabelle1[[#This Row],[Haltbarkeit]]*7*Tabelle1[[#This Row],[Menge]])/Tabelle1[[#This Row],[Packungsgröße]]</f>
        <v>3.36</v>
      </c>
      <c r="G50" s="2">
        <f>Tabelle1[[#This Row],[Packungsgröße]]/Tabelle1[[#This Row],[Menge]]</f>
        <v>50</v>
      </c>
    </row>
    <row r="51" spans="1:7" x14ac:dyDescent="0.55000000000000004">
      <c r="A51" s="1" t="s">
        <v>4</v>
      </c>
      <c r="B51">
        <v>170</v>
      </c>
      <c r="C51">
        <v>1000</v>
      </c>
      <c r="D51">
        <v>2</v>
      </c>
      <c r="E51" t="s">
        <v>57</v>
      </c>
      <c r="F51" s="2">
        <f>(Tabelle1[[#This Row],[Haltbarkeit]]*7*Tabelle1[[#This Row],[Menge]])/Tabelle1[[#This Row],[Packungsgröße]]</f>
        <v>2.38</v>
      </c>
      <c r="G51" s="2">
        <f>Tabelle1[[#This Row],[Packungsgröße]]/Tabelle1[[#This Row],[Menge]]</f>
        <v>5.882352941176471</v>
      </c>
    </row>
    <row r="52" spans="1:7" x14ac:dyDescent="0.55000000000000004">
      <c r="A52" t="s">
        <v>21</v>
      </c>
      <c r="B52">
        <v>4</v>
      </c>
      <c r="C52">
        <v>300</v>
      </c>
      <c r="D52">
        <v>24</v>
      </c>
      <c r="E52" t="s">
        <v>62</v>
      </c>
      <c r="F52" s="2">
        <f>(Tabelle1[[#This Row],[Haltbarkeit]]*7*Tabelle1[[#This Row],[Menge]])/Tabelle1[[#This Row],[Packungsgröße]]</f>
        <v>2.2400000000000002</v>
      </c>
      <c r="G52" s="2">
        <f>Tabelle1[[#This Row],[Packungsgröße]]/Tabelle1[[#This Row],[Menge]]</f>
        <v>75</v>
      </c>
    </row>
    <row r="53" spans="1:7" x14ac:dyDescent="0.55000000000000004">
      <c r="A53" t="s">
        <v>23</v>
      </c>
      <c r="B53">
        <v>15</v>
      </c>
      <c r="C53">
        <v>200</v>
      </c>
      <c r="D53">
        <v>4</v>
      </c>
      <c r="E53" t="s">
        <v>67</v>
      </c>
      <c r="F53" s="2">
        <f>(Tabelle1[[#This Row],[Haltbarkeit]]*7*Tabelle1[[#This Row],[Menge]])/Tabelle1[[#This Row],[Packungsgröße]]</f>
        <v>2.1</v>
      </c>
      <c r="G53" s="2">
        <f>Tabelle1[[#This Row],[Packungsgröße]]/Tabelle1[[#This Row],[Menge]]</f>
        <v>13.333333333333334</v>
      </c>
    </row>
    <row r="54" spans="1:7" x14ac:dyDescent="0.55000000000000004">
      <c r="A54" s="1" t="s">
        <v>3</v>
      </c>
      <c r="B54">
        <v>71</v>
      </c>
      <c r="C54">
        <v>1000</v>
      </c>
      <c r="D54">
        <v>4</v>
      </c>
      <c r="E54" t="s">
        <v>58</v>
      </c>
      <c r="F54" s="2">
        <f>(Tabelle1[[#This Row],[Haltbarkeit]]*7*Tabelle1[[#This Row],[Menge]])/Tabelle1[[#This Row],[Packungsgröße]]</f>
        <v>1.988</v>
      </c>
      <c r="G54" s="2">
        <f>Tabelle1[[#This Row],[Packungsgröße]]/Tabelle1[[#This Row],[Menge]]</f>
        <v>14.084507042253522</v>
      </c>
    </row>
    <row r="55" spans="1:7" x14ac:dyDescent="0.55000000000000004">
      <c r="A55" s="1" t="s">
        <v>12</v>
      </c>
      <c r="B55">
        <v>55</v>
      </c>
      <c r="C55">
        <v>1000</v>
      </c>
      <c r="D55">
        <v>4</v>
      </c>
      <c r="E55" t="s">
        <v>57</v>
      </c>
      <c r="F55" s="2">
        <f>(Tabelle1[[#This Row],[Haltbarkeit]]*7*Tabelle1[[#This Row],[Menge]])/Tabelle1[[#This Row],[Packungsgröße]]</f>
        <v>1.54</v>
      </c>
      <c r="G55" s="2">
        <f>Tabelle1[[#This Row],[Packungsgröße]]/Tabelle1[[#This Row],[Menge]]</f>
        <v>18.181818181818183</v>
      </c>
    </row>
    <row r="56" spans="1:7" x14ac:dyDescent="0.55000000000000004">
      <c r="A56" s="1" t="s">
        <v>14</v>
      </c>
      <c r="B56">
        <v>40</v>
      </c>
      <c r="C56">
        <v>200</v>
      </c>
      <c r="D56">
        <v>1</v>
      </c>
      <c r="E56" t="s">
        <v>57</v>
      </c>
      <c r="F56" s="2">
        <f>(Tabelle1[[#This Row],[Haltbarkeit]]*7*Tabelle1[[#This Row],[Menge]])/Tabelle1[[#This Row],[Packungsgröße]]</f>
        <v>1.4</v>
      </c>
      <c r="G56" s="2">
        <f>Tabelle1[[#This Row],[Packungsgröße]]/Tabelle1[[#This Row],[Menge]]</f>
        <v>5</v>
      </c>
    </row>
    <row r="57" spans="1:7" x14ac:dyDescent="0.55000000000000004">
      <c r="A57" t="s">
        <v>26</v>
      </c>
      <c r="B57">
        <v>4</v>
      </c>
      <c r="C57">
        <v>500</v>
      </c>
      <c r="D57">
        <v>24</v>
      </c>
      <c r="E57" t="s">
        <v>62</v>
      </c>
      <c r="F57" s="2">
        <f>(Tabelle1[[#This Row],[Haltbarkeit]]*7*Tabelle1[[#This Row],[Menge]])/Tabelle1[[#This Row],[Packungsgröße]]</f>
        <v>1.3440000000000001</v>
      </c>
      <c r="G57" s="2">
        <f>Tabelle1[[#This Row],[Packungsgröße]]/Tabelle1[[#This Row],[Menge]]</f>
        <v>125</v>
      </c>
    </row>
    <row r="58" spans="1:7" x14ac:dyDescent="0.55000000000000004">
      <c r="A58" t="s">
        <v>25</v>
      </c>
      <c r="B58">
        <v>30</v>
      </c>
      <c r="C58">
        <v>700</v>
      </c>
      <c r="D58">
        <v>2</v>
      </c>
      <c r="E58" t="s">
        <v>60</v>
      </c>
      <c r="F58" s="2">
        <f>(Tabelle1[[#This Row],[Haltbarkeit]]*7*Tabelle1[[#This Row],[Menge]])/Tabelle1[[#This Row],[Packungsgröße]]</f>
        <v>0.6</v>
      </c>
      <c r="G58" s="2">
        <f>Tabelle1[[#This Row],[Packungsgröße]]/Tabelle1[[#This Row],[Menge]]</f>
        <v>23.333333333333332</v>
      </c>
    </row>
    <row r="59" spans="1:7" x14ac:dyDescent="0.55000000000000004">
      <c r="A59" s="1" t="s">
        <v>16</v>
      </c>
      <c r="B59">
        <v>26</v>
      </c>
      <c r="C59">
        <v>500</v>
      </c>
      <c r="D59">
        <v>0</v>
      </c>
      <c r="E59" t="s">
        <v>58</v>
      </c>
      <c r="F59" s="2">
        <f>(Tabelle1[[#This Row],[Haltbarkeit]]*7*Tabelle1[[#This Row],[Menge]])/Tabelle1[[#This Row],[Packungsgröße]]</f>
        <v>0</v>
      </c>
      <c r="G59" s="2">
        <f>Tabelle1[[#This Row],[Packungsgröße]]/Tabelle1[[#This Row],[Menge]]</f>
        <v>19.23076923076923</v>
      </c>
    </row>
    <row r="60" spans="1:7" x14ac:dyDescent="0.55000000000000004">
      <c r="A60" s="1" t="s">
        <v>55</v>
      </c>
      <c r="B60">
        <v>26</v>
      </c>
      <c r="C60">
        <v>500</v>
      </c>
      <c r="D60">
        <v>0</v>
      </c>
      <c r="E60" t="s">
        <v>58</v>
      </c>
      <c r="F60" s="2">
        <f>(Tabelle1[[#This Row],[Haltbarkeit]]*7*Tabelle1[[#This Row],[Menge]])/Tabelle1[[#This Row],[Packungsgröße]]</f>
        <v>0</v>
      </c>
      <c r="G60" s="2">
        <f>Tabelle1[[#This Row],[Packungsgröße]]/Tabelle1[[#This Row],[Menge]]</f>
        <v>19.23076923076923</v>
      </c>
    </row>
    <row r="61" spans="1:7" x14ac:dyDescent="0.55000000000000004">
      <c r="A61" s="1" t="s">
        <v>9</v>
      </c>
      <c r="B61">
        <v>134</v>
      </c>
      <c r="C61">
        <v>400</v>
      </c>
      <c r="D61">
        <v>0</v>
      </c>
      <c r="E61" t="s">
        <v>58</v>
      </c>
      <c r="F61" s="2">
        <f>(Tabelle1[[#This Row],[Haltbarkeit]]*7*Tabelle1[[#This Row],[Menge]])/Tabelle1[[#This Row],[Packungsgröße]]</f>
        <v>0</v>
      </c>
      <c r="G61" s="2">
        <f>Tabelle1[[#This Row],[Packungsgröße]]/Tabelle1[[#This Row],[Menge]]</f>
        <v>2.9850746268656718</v>
      </c>
    </row>
  </sheetData>
  <conditionalFormatting sqref="D33:D61">
    <cfRule type="colorScale" priority="1">
      <colorScale>
        <cfvo type="min"/>
        <cfvo type="percentile" val="50"/>
        <cfvo type="num" val="52"/>
        <color rgb="FFF8696B"/>
        <color rgb="FFFFEB84"/>
        <color rgb="FF63BE7B"/>
      </colorScale>
    </cfRule>
  </conditionalFormatting>
  <conditionalFormatting sqref="F34:G61">
    <cfRule type="colorScale" priority="2">
      <colorScale>
        <cfvo type="min"/>
        <cfvo type="percentile" val="50"/>
        <cfvo type="num" val="100"/>
        <color rgb="FFC00000"/>
        <color rgb="FFFFEB84"/>
        <color theme="6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D952-4591-4675-975A-B3C278BBCD69}">
  <dimension ref="A1:U17"/>
  <sheetViews>
    <sheetView zoomScale="111" workbookViewId="0">
      <selection activeCell="A9" sqref="A9:XFD9"/>
    </sheetView>
  </sheetViews>
  <sheetFormatPr baseColWidth="10" defaultRowHeight="14.4" outlineLevelCol="1" x14ac:dyDescent="0.55000000000000004"/>
  <cols>
    <col min="1" max="1" width="17.26171875" customWidth="1"/>
    <col min="8" max="12" width="10.9453125" hidden="1" customWidth="1" outlineLevel="1"/>
    <col min="13" max="13" width="10.9453125" collapsed="1"/>
  </cols>
  <sheetData>
    <row r="1" spans="1:21" x14ac:dyDescent="0.55000000000000004">
      <c r="A1" t="s">
        <v>18</v>
      </c>
    </row>
    <row r="2" spans="1:21" x14ac:dyDescent="0.55000000000000004">
      <c r="B2" t="s">
        <v>36</v>
      </c>
      <c r="C2" t="s">
        <v>37</v>
      </c>
      <c r="D2" t="s">
        <v>31</v>
      </c>
      <c r="E2" t="s">
        <v>32</v>
      </c>
      <c r="F2" t="s">
        <v>33</v>
      </c>
      <c r="G2" t="s">
        <v>34</v>
      </c>
      <c r="H2" t="s">
        <v>24</v>
      </c>
      <c r="I2" t="s">
        <v>40</v>
      </c>
      <c r="J2" t="s">
        <v>39</v>
      </c>
      <c r="K2" t="s">
        <v>38</v>
      </c>
      <c r="L2" t="s">
        <v>41</v>
      </c>
      <c r="M2" t="s">
        <v>70</v>
      </c>
      <c r="N2" t="s">
        <v>71</v>
      </c>
      <c r="O2" t="s">
        <v>35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</row>
    <row r="4" spans="1:21" x14ac:dyDescent="0.55000000000000004">
      <c r="A4" t="s">
        <v>25</v>
      </c>
      <c r="B4" s="4">
        <v>61</v>
      </c>
      <c r="C4" s="4">
        <v>0.3</v>
      </c>
      <c r="D4" s="4">
        <v>0.5</v>
      </c>
      <c r="E4" s="4">
        <v>13</v>
      </c>
      <c r="F4" s="4">
        <v>8.9499999999999993</v>
      </c>
      <c r="G4" s="4">
        <v>700</v>
      </c>
      <c r="H4">
        <f>B4/100</f>
        <v>0.61</v>
      </c>
      <c r="I4">
        <f t="shared" ref="I4:K16" si="0">C4/100</f>
        <v>3.0000000000000001E-3</v>
      </c>
      <c r="J4">
        <f t="shared" si="0"/>
        <v>5.0000000000000001E-3</v>
      </c>
      <c r="K4">
        <f>E4/100</f>
        <v>0.13</v>
      </c>
      <c r="L4">
        <f>F4/G4</f>
        <v>1.2785714285714284E-2</v>
      </c>
      <c r="M4">
        <f t="shared" ref="M4:M16" si="1">(B4*E4)/(O4*D4)</f>
        <v>31.72</v>
      </c>
      <c r="N4">
        <f>(B4*D4)/(O4*E4)</f>
        <v>4.6923076923076922E-2</v>
      </c>
      <c r="O4">
        <v>50</v>
      </c>
      <c r="Q4" s="3">
        <f t="shared" ref="Q4:Q16" si="2">H4*$O4</f>
        <v>30.5</v>
      </c>
      <c r="R4" s="3">
        <f t="shared" ref="R4:R16" si="3">I4*$O4</f>
        <v>0.15</v>
      </c>
      <c r="S4" s="3">
        <f t="shared" ref="S4:S16" si="4">J4*$O4</f>
        <v>0.25</v>
      </c>
      <c r="T4" s="3">
        <f t="shared" ref="T4:T16" si="5">K4*$O4</f>
        <v>6.5</v>
      </c>
      <c r="U4" s="3">
        <f t="shared" ref="U4:U16" si="6">L4*$O4</f>
        <v>0.63928571428571423</v>
      </c>
    </row>
    <row r="5" spans="1:21" x14ac:dyDescent="0.55000000000000004">
      <c r="A5" t="s">
        <v>19</v>
      </c>
      <c r="B5" s="4">
        <v>718</v>
      </c>
      <c r="C5" s="4">
        <v>7.9</v>
      </c>
      <c r="D5" s="4">
        <v>75.8</v>
      </c>
      <c r="E5" s="4">
        <v>13.8</v>
      </c>
      <c r="F5" s="4">
        <v>26.9</v>
      </c>
      <c r="G5" s="4">
        <v>1000</v>
      </c>
      <c r="H5">
        <f>B5/100</f>
        <v>7.18</v>
      </c>
      <c r="I5">
        <f>C5/100</f>
        <v>7.9000000000000001E-2</v>
      </c>
      <c r="J5">
        <f>D5/100</f>
        <v>0.75800000000000001</v>
      </c>
      <c r="K5">
        <f>E5/100</f>
        <v>0.13800000000000001</v>
      </c>
      <c r="L5">
        <f>F5/G5</f>
        <v>2.69E-2</v>
      </c>
      <c r="M5">
        <f t="shared" si="1"/>
        <v>8.7145118733509239</v>
      </c>
      <c r="N5">
        <f>(B5*D5)/(O5*E5)</f>
        <v>262.91980676328501</v>
      </c>
      <c r="O5">
        <v>15</v>
      </c>
      <c r="Q5" s="3">
        <f t="shared" si="2"/>
        <v>107.69999999999999</v>
      </c>
      <c r="R5" s="3">
        <f t="shared" si="3"/>
        <v>1.1850000000000001</v>
      </c>
      <c r="S5" s="3">
        <f t="shared" si="4"/>
        <v>11.370000000000001</v>
      </c>
      <c r="T5" s="3">
        <f t="shared" si="5"/>
        <v>2.0700000000000003</v>
      </c>
      <c r="U5" s="3">
        <f t="shared" si="6"/>
        <v>0.40350000000000003</v>
      </c>
    </row>
    <row r="6" spans="1:21" x14ac:dyDescent="0.55000000000000004">
      <c r="A6" t="s">
        <v>20</v>
      </c>
      <c r="B6" s="4">
        <v>553</v>
      </c>
      <c r="C6" s="4">
        <v>30</v>
      </c>
      <c r="D6" s="4">
        <v>48.8</v>
      </c>
      <c r="E6" s="4">
        <v>8.6999999999999993</v>
      </c>
      <c r="F6" s="4">
        <v>2.95</v>
      </c>
      <c r="G6" s="4">
        <v>200</v>
      </c>
      <c r="H6">
        <f t="shared" ref="H6:H16" si="7">B6/100</f>
        <v>5.53</v>
      </c>
      <c r="I6">
        <f t="shared" si="0"/>
        <v>0.3</v>
      </c>
      <c r="J6">
        <f t="shared" si="0"/>
        <v>0.48799999999999999</v>
      </c>
      <c r="K6">
        <f t="shared" si="0"/>
        <v>8.6999999999999994E-2</v>
      </c>
      <c r="L6">
        <f t="shared" ref="L6:L16" si="8">F6/G6</f>
        <v>1.4750000000000001E-2</v>
      </c>
      <c r="M6">
        <f t="shared" si="1"/>
        <v>24.647028688524589</v>
      </c>
      <c r="N6">
        <f t="shared" ref="N6:N16" si="9">(B6*D6)/(O6*E6)</f>
        <v>775.47126436781605</v>
      </c>
      <c r="O6">
        <v>4</v>
      </c>
      <c r="Q6" s="3">
        <f t="shared" si="2"/>
        <v>22.12</v>
      </c>
      <c r="R6" s="3">
        <f t="shared" si="3"/>
        <v>1.2</v>
      </c>
      <c r="S6" s="3">
        <f t="shared" si="4"/>
        <v>1.952</v>
      </c>
      <c r="T6" s="3">
        <f t="shared" si="5"/>
        <v>0.34799999999999998</v>
      </c>
      <c r="U6" s="3">
        <f t="shared" si="6"/>
        <v>5.9000000000000004E-2</v>
      </c>
    </row>
    <row r="7" spans="1:21" x14ac:dyDescent="0.55000000000000004">
      <c r="A7" t="s">
        <v>21</v>
      </c>
      <c r="B7" s="4">
        <v>474</v>
      </c>
      <c r="C7" s="4">
        <v>22</v>
      </c>
      <c r="D7" s="4">
        <v>35.299999999999997</v>
      </c>
      <c r="E7" s="4">
        <v>1.3</v>
      </c>
      <c r="F7" s="4">
        <v>1.85</v>
      </c>
      <c r="G7" s="4">
        <v>300</v>
      </c>
      <c r="H7">
        <f t="shared" si="7"/>
        <v>4.74</v>
      </c>
      <c r="I7">
        <f t="shared" si="0"/>
        <v>0.22</v>
      </c>
      <c r="J7">
        <f t="shared" si="0"/>
        <v>0.35299999999999998</v>
      </c>
      <c r="K7">
        <f t="shared" si="0"/>
        <v>1.3000000000000001E-2</v>
      </c>
      <c r="L7">
        <f t="shared" si="8"/>
        <v>6.1666666666666667E-3</v>
      </c>
      <c r="M7">
        <f t="shared" si="1"/>
        <v>4.3640226628895187</v>
      </c>
      <c r="N7">
        <f t="shared" si="9"/>
        <v>3217.7307692307686</v>
      </c>
      <c r="O7">
        <v>4</v>
      </c>
      <c r="Q7" s="3">
        <f t="shared" si="2"/>
        <v>18.96</v>
      </c>
      <c r="R7" s="3">
        <f t="shared" si="3"/>
        <v>0.88</v>
      </c>
      <c r="S7" s="3">
        <f t="shared" si="4"/>
        <v>1.4119999999999999</v>
      </c>
      <c r="T7" s="3">
        <f t="shared" si="5"/>
        <v>5.2000000000000005E-2</v>
      </c>
      <c r="U7" s="3">
        <f t="shared" si="6"/>
        <v>2.4666666666666667E-2</v>
      </c>
    </row>
    <row r="8" spans="1:21" x14ac:dyDescent="0.55000000000000004">
      <c r="A8" t="s">
        <v>26</v>
      </c>
      <c r="B8" s="4">
        <v>488</v>
      </c>
      <c r="C8" s="4">
        <v>22.3</v>
      </c>
      <c r="D8" s="4">
        <v>41</v>
      </c>
      <c r="E8" s="4">
        <v>1.1000000000000001</v>
      </c>
      <c r="F8" s="4">
        <v>1.55</v>
      </c>
      <c r="G8" s="4">
        <v>500</v>
      </c>
      <c r="H8">
        <f t="shared" si="7"/>
        <v>4.88</v>
      </c>
      <c r="I8">
        <f t="shared" si="0"/>
        <v>0.223</v>
      </c>
      <c r="J8">
        <f t="shared" si="0"/>
        <v>0.41</v>
      </c>
      <c r="K8">
        <f t="shared" si="0"/>
        <v>1.1000000000000001E-2</v>
      </c>
      <c r="L8">
        <f t="shared" si="8"/>
        <v>3.0999999999999999E-3</v>
      </c>
      <c r="M8">
        <f t="shared" si="1"/>
        <v>3.2731707317073173</v>
      </c>
      <c r="N8">
        <f t="shared" si="9"/>
        <v>4547.272727272727</v>
      </c>
      <c r="O8">
        <v>4</v>
      </c>
      <c r="Q8" s="3">
        <f t="shared" si="2"/>
        <v>19.52</v>
      </c>
      <c r="R8" s="3">
        <f t="shared" si="3"/>
        <v>0.89200000000000002</v>
      </c>
      <c r="S8" s="3">
        <f t="shared" si="4"/>
        <v>1.64</v>
      </c>
      <c r="T8" s="3">
        <f t="shared" si="5"/>
        <v>4.4000000000000004E-2</v>
      </c>
      <c r="U8" s="3">
        <f t="shared" si="6"/>
        <v>1.24E-2</v>
      </c>
    </row>
    <row r="9" spans="1:21" x14ac:dyDescent="0.55000000000000004">
      <c r="A9" t="s">
        <v>22</v>
      </c>
      <c r="B9" s="4">
        <v>626</v>
      </c>
      <c r="C9" s="4">
        <v>28</v>
      </c>
      <c r="D9" s="4">
        <v>52</v>
      </c>
      <c r="E9" s="4">
        <v>7.1</v>
      </c>
      <c r="F9" s="4">
        <v>1.95</v>
      </c>
      <c r="G9" s="4">
        <v>250</v>
      </c>
      <c r="H9">
        <f t="shared" si="7"/>
        <v>6.26</v>
      </c>
      <c r="I9">
        <f t="shared" si="0"/>
        <v>0.28000000000000003</v>
      </c>
      <c r="J9">
        <f t="shared" si="0"/>
        <v>0.52</v>
      </c>
      <c r="K9">
        <f t="shared" si="0"/>
        <v>7.0999999999999994E-2</v>
      </c>
      <c r="L9">
        <f t="shared" si="8"/>
        <v>7.7999999999999996E-3</v>
      </c>
      <c r="M9">
        <f t="shared" si="1"/>
        <v>2.8491025641025636</v>
      </c>
      <c r="N9">
        <f t="shared" si="9"/>
        <v>152.82629107981219</v>
      </c>
      <c r="O9">
        <v>30</v>
      </c>
      <c r="Q9" s="3">
        <f t="shared" si="2"/>
        <v>187.79999999999998</v>
      </c>
      <c r="R9" s="3">
        <f t="shared" si="3"/>
        <v>8.4</v>
      </c>
      <c r="S9" s="3">
        <f t="shared" si="4"/>
        <v>15.600000000000001</v>
      </c>
      <c r="T9" s="3">
        <f t="shared" si="5"/>
        <v>2.13</v>
      </c>
      <c r="U9" s="3">
        <f t="shared" si="6"/>
        <v>0.23399999999999999</v>
      </c>
    </row>
    <row r="10" spans="1:21" x14ac:dyDescent="0.55000000000000004">
      <c r="A10" t="s">
        <v>1</v>
      </c>
      <c r="B10" s="4">
        <v>372</v>
      </c>
      <c r="C10" s="4">
        <v>13.5</v>
      </c>
      <c r="D10" s="4">
        <v>7</v>
      </c>
      <c r="E10" s="4">
        <v>58.7</v>
      </c>
      <c r="F10" s="4">
        <v>0.85</v>
      </c>
      <c r="G10" s="4">
        <v>500</v>
      </c>
      <c r="H10">
        <f t="shared" si="7"/>
        <v>3.72</v>
      </c>
      <c r="I10">
        <f t="shared" si="0"/>
        <v>0.13500000000000001</v>
      </c>
      <c r="J10">
        <f t="shared" si="0"/>
        <v>7.0000000000000007E-2</v>
      </c>
      <c r="K10">
        <f t="shared" si="0"/>
        <v>0.58700000000000008</v>
      </c>
      <c r="L10">
        <f t="shared" si="8"/>
        <v>1.6999999999999999E-3</v>
      </c>
      <c r="M10">
        <f t="shared" si="1"/>
        <v>44.564081632653064</v>
      </c>
      <c r="N10">
        <f t="shared" si="9"/>
        <v>0.63373083475298131</v>
      </c>
      <c r="O10">
        <v>70</v>
      </c>
      <c r="Q10" s="3">
        <f t="shared" si="2"/>
        <v>260.40000000000003</v>
      </c>
      <c r="R10" s="3">
        <f t="shared" si="3"/>
        <v>9.4500000000000011</v>
      </c>
      <c r="S10" s="3">
        <f t="shared" si="4"/>
        <v>4.9000000000000004</v>
      </c>
      <c r="T10" s="3">
        <f t="shared" si="5"/>
        <v>41.09</v>
      </c>
      <c r="U10" s="3">
        <f t="shared" si="6"/>
        <v>0.11899999999999999</v>
      </c>
    </row>
    <row r="11" spans="1:21" x14ac:dyDescent="0.55000000000000004">
      <c r="A11" t="s">
        <v>23</v>
      </c>
      <c r="B11" s="4">
        <v>278</v>
      </c>
      <c r="C11" s="4">
        <v>1.9</v>
      </c>
      <c r="D11" s="4">
        <v>0.53</v>
      </c>
      <c r="E11" s="4">
        <v>65.099999999999994</v>
      </c>
      <c r="F11" s="4">
        <v>1.65</v>
      </c>
      <c r="G11" s="4">
        <v>200</v>
      </c>
      <c r="H11">
        <f t="shared" si="7"/>
        <v>2.78</v>
      </c>
      <c r="I11">
        <f t="shared" si="0"/>
        <v>1.9E-2</v>
      </c>
      <c r="J11">
        <f t="shared" si="0"/>
        <v>5.3E-3</v>
      </c>
      <c r="K11">
        <f t="shared" si="0"/>
        <v>0.65099999999999991</v>
      </c>
      <c r="L11">
        <f t="shared" si="8"/>
        <v>8.2500000000000004E-3</v>
      </c>
      <c r="M11">
        <f t="shared" si="1"/>
        <v>1707.3396226415091</v>
      </c>
      <c r="N11">
        <f t="shared" si="9"/>
        <v>0.11316436251920123</v>
      </c>
      <c r="O11">
        <v>20</v>
      </c>
      <c r="Q11" s="3">
        <f t="shared" si="2"/>
        <v>55.599999999999994</v>
      </c>
      <c r="R11" s="3">
        <f t="shared" si="3"/>
        <v>0.38</v>
      </c>
      <c r="S11" s="3">
        <f t="shared" si="4"/>
        <v>0.106</v>
      </c>
      <c r="T11" s="3">
        <f t="shared" si="5"/>
        <v>13.019999999999998</v>
      </c>
      <c r="U11" s="3">
        <f t="shared" si="6"/>
        <v>0.16500000000000001</v>
      </c>
    </row>
    <row r="12" spans="1:21" x14ac:dyDescent="0.55000000000000004">
      <c r="A12" t="s">
        <v>6</v>
      </c>
      <c r="B12" s="4">
        <v>331</v>
      </c>
      <c r="C12" s="4">
        <v>0.5</v>
      </c>
      <c r="D12" s="4">
        <v>0</v>
      </c>
      <c r="E12" s="4">
        <v>82</v>
      </c>
      <c r="F12" s="4">
        <v>2.79</v>
      </c>
      <c r="G12" s="4">
        <v>500</v>
      </c>
      <c r="H12">
        <f t="shared" si="7"/>
        <v>3.31</v>
      </c>
      <c r="I12">
        <f t="shared" si="0"/>
        <v>5.0000000000000001E-3</v>
      </c>
      <c r="J12">
        <f t="shared" si="0"/>
        <v>0</v>
      </c>
      <c r="K12">
        <f t="shared" si="0"/>
        <v>0.82</v>
      </c>
      <c r="L12">
        <f t="shared" si="8"/>
        <v>5.5799999999999999E-3</v>
      </c>
      <c r="M12" t="e">
        <f t="shared" si="1"/>
        <v>#DIV/0!</v>
      </c>
      <c r="N12">
        <f t="shared" si="9"/>
        <v>0</v>
      </c>
      <c r="O12">
        <v>20</v>
      </c>
      <c r="Q12" s="3">
        <f t="shared" si="2"/>
        <v>66.2</v>
      </c>
      <c r="R12" s="3">
        <f t="shared" si="3"/>
        <v>0.1</v>
      </c>
      <c r="S12" s="3">
        <f t="shared" si="4"/>
        <v>0</v>
      </c>
      <c r="T12" s="3">
        <f t="shared" si="5"/>
        <v>16.399999999999999</v>
      </c>
      <c r="U12" s="3">
        <f t="shared" si="6"/>
        <v>0.1116</v>
      </c>
    </row>
    <row r="13" spans="1:21" x14ac:dyDescent="0.55000000000000004">
      <c r="A13" t="s">
        <v>29</v>
      </c>
      <c r="B13" s="4">
        <v>58</v>
      </c>
      <c r="C13" s="4">
        <v>1</v>
      </c>
      <c r="D13" s="4">
        <v>0.4</v>
      </c>
      <c r="E13" s="4">
        <v>11.5</v>
      </c>
      <c r="F13" s="4">
        <v>3.49</v>
      </c>
      <c r="G13" s="4">
        <v>750</v>
      </c>
      <c r="H13">
        <f t="shared" si="7"/>
        <v>0.57999999999999996</v>
      </c>
      <c r="I13">
        <f t="shared" si="0"/>
        <v>0.01</v>
      </c>
      <c r="J13">
        <f t="shared" si="0"/>
        <v>4.0000000000000001E-3</v>
      </c>
      <c r="K13">
        <f t="shared" si="0"/>
        <v>0.115</v>
      </c>
      <c r="L13">
        <f t="shared" si="8"/>
        <v>4.653333333333334E-3</v>
      </c>
      <c r="M13">
        <f t="shared" si="1"/>
        <v>16.675000000000001</v>
      </c>
      <c r="N13">
        <f t="shared" si="9"/>
        <v>2.0173913043478264E-2</v>
      </c>
      <c r="O13">
        <v>100</v>
      </c>
      <c r="Q13" s="3">
        <f t="shared" si="2"/>
        <v>57.999999999999993</v>
      </c>
      <c r="R13" s="3">
        <f t="shared" si="3"/>
        <v>1</v>
      </c>
      <c r="S13" s="3">
        <f t="shared" si="4"/>
        <v>0.4</v>
      </c>
      <c r="T13" s="3">
        <f t="shared" si="5"/>
        <v>11.5</v>
      </c>
      <c r="U13" s="3">
        <f t="shared" si="6"/>
        <v>0.46533333333333338</v>
      </c>
    </row>
    <row r="14" spans="1:21" x14ac:dyDescent="0.55000000000000004">
      <c r="A14" t="s">
        <v>27</v>
      </c>
      <c r="B14" s="4">
        <v>700</v>
      </c>
      <c r="C14" s="4">
        <v>16.100000000000001</v>
      </c>
      <c r="D14" s="4">
        <v>65.2</v>
      </c>
      <c r="E14" s="4">
        <v>13.7</v>
      </c>
      <c r="F14" s="4">
        <v>1.65</v>
      </c>
      <c r="G14" s="4">
        <v>150</v>
      </c>
      <c r="H14">
        <f>B14/100</f>
        <v>7</v>
      </c>
      <c r="I14">
        <f>C14/100</f>
        <v>0.161</v>
      </c>
      <c r="J14">
        <f>D14/100</f>
        <v>0.65200000000000002</v>
      </c>
      <c r="K14">
        <f>E14/100</f>
        <v>0.13699999999999998</v>
      </c>
      <c r="L14">
        <f>F14/G14</f>
        <v>1.0999999999999999E-2</v>
      </c>
      <c r="M14">
        <f t="shared" si="1"/>
        <v>14.708588957055214</v>
      </c>
      <c r="N14">
        <f>(B14*D14)/(O14*E14)</f>
        <v>333.13868613138686</v>
      </c>
      <c r="O14">
        <v>10</v>
      </c>
      <c r="Q14" s="3">
        <f t="shared" si="2"/>
        <v>70</v>
      </c>
      <c r="R14" s="3">
        <f t="shared" si="3"/>
        <v>1.61</v>
      </c>
      <c r="S14" s="3">
        <f t="shared" si="4"/>
        <v>6.5200000000000005</v>
      </c>
      <c r="T14" s="3">
        <f t="shared" si="5"/>
        <v>1.3699999999999999</v>
      </c>
      <c r="U14" s="3">
        <f t="shared" si="6"/>
        <v>0.10999999999999999</v>
      </c>
    </row>
    <row r="15" spans="1:21" x14ac:dyDescent="0.55000000000000004">
      <c r="A15" t="s">
        <v>4</v>
      </c>
      <c r="B15" s="4">
        <v>64</v>
      </c>
      <c r="C15" s="4">
        <v>3.5</v>
      </c>
      <c r="D15" s="4">
        <v>3.5</v>
      </c>
      <c r="E15" s="4">
        <v>5</v>
      </c>
      <c r="F15" s="4">
        <v>1.0900000000000001</v>
      </c>
      <c r="G15" s="4">
        <v>1000</v>
      </c>
      <c r="H15">
        <f t="shared" si="7"/>
        <v>0.64</v>
      </c>
      <c r="I15">
        <f t="shared" si="0"/>
        <v>3.5000000000000003E-2</v>
      </c>
      <c r="J15">
        <f t="shared" si="0"/>
        <v>3.5000000000000003E-2</v>
      </c>
      <c r="K15">
        <f t="shared" si="0"/>
        <v>0.05</v>
      </c>
      <c r="L15">
        <f t="shared" si="8"/>
        <v>1.09E-3</v>
      </c>
      <c r="M15">
        <f t="shared" si="1"/>
        <v>0.45714285714285713</v>
      </c>
      <c r="N15">
        <f t="shared" si="9"/>
        <v>0.224</v>
      </c>
      <c r="O15">
        <v>200</v>
      </c>
      <c r="Q15" s="3">
        <f t="shared" si="2"/>
        <v>128</v>
      </c>
      <c r="R15" s="3">
        <f t="shared" si="3"/>
        <v>7.0000000000000009</v>
      </c>
      <c r="S15" s="3">
        <f t="shared" si="4"/>
        <v>7.0000000000000009</v>
      </c>
      <c r="T15" s="3">
        <f t="shared" si="5"/>
        <v>10</v>
      </c>
      <c r="U15" s="3">
        <f t="shared" si="6"/>
        <v>0.218</v>
      </c>
    </row>
    <row r="16" spans="1:21" x14ac:dyDescent="0.55000000000000004">
      <c r="A16" t="s">
        <v>52</v>
      </c>
      <c r="B16" s="4">
        <v>830</v>
      </c>
      <c r="C16" s="4">
        <v>0</v>
      </c>
      <c r="D16" s="4">
        <v>100</v>
      </c>
      <c r="E16" s="4">
        <v>0</v>
      </c>
      <c r="F16" s="4">
        <v>6</v>
      </c>
      <c r="G16" s="4">
        <v>750</v>
      </c>
      <c r="H16">
        <f t="shared" si="7"/>
        <v>8.3000000000000007</v>
      </c>
      <c r="I16">
        <f t="shared" si="0"/>
        <v>0</v>
      </c>
      <c r="J16">
        <f t="shared" si="0"/>
        <v>1</v>
      </c>
      <c r="K16">
        <f t="shared" si="0"/>
        <v>0</v>
      </c>
      <c r="L16">
        <f t="shared" si="8"/>
        <v>8.0000000000000002E-3</v>
      </c>
      <c r="M16">
        <f t="shared" si="1"/>
        <v>0</v>
      </c>
      <c r="N16" t="e">
        <f t="shared" si="9"/>
        <v>#DIV/0!</v>
      </c>
      <c r="O16">
        <v>20</v>
      </c>
      <c r="Q16" s="3">
        <f t="shared" si="2"/>
        <v>166</v>
      </c>
      <c r="R16" s="3">
        <f t="shared" si="3"/>
        <v>0</v>
      </c>
      <c r="S16" s="3">
        <f t="shared" si="4"/>
        <v>20</v>
      </c>
      <c r="T16" s="3">
        <f t="shared" si="5"/>
        <v>0</v>
      </c>
      <c r="U16" s="3">
        <f t="shared" si="6"/>
        <v>0.16</v>
      </c>
    </row>
    <row r="17" spans="17:21" x14ac:dyDescent="0.55000000000000004">
      <c r="Q17" s="5">
        <f>SUM(Q4:Q16)</f>
        <v>1190.8000000000002</v>
      </c>
      <c r="R17" s="5">
        <f>SUM(R4:R16)</f>
        <v>32.247000000000007</v>
      </c>
      <c r="S17" s="5">
        <f>SUM(S4:S16)</f>
        <v>71.150000000000006</v>
      </c>
      <c r="T17" s="5">
        <f>SUM(T4:T16)</f>
        <v>104.524</v>
      </c>
      <c r="U17" s="5">
        <f>SUM(U4:U16)</f>
        <v>2.7217857142857143</v>
      </c>
    </row>
  </sheetData>
  <conditionalFormatting sqref="B4:B1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1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Hipp98</dc:creator>
  <cp:lastModifiedBy>Hannes Hipp</cp:lastModifiedBy>
  <dcterms:created xsi:type="dcterms:W3CDTF">2025-10-29T09:13:03Z</dcterms:created>
  <dcterms:modified xsi:type="dcterms:W3CDTF">2026-02-05T01:41:15Z</dcterms:modified>
</cp:coreProperties>
</file>